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E12F2D42-6765-49FF-817F-F47F8C0B58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>Лист1!$A$10:$M$13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" l="1"/>
  <c r="K13" i="1"/>
  <c r="H13" i="1"/>
  <c r="E13" i="1"/>
  <c r="M12" i="1"/>
  <c r="K12" i="1"/>
  <c r="H12" i="1"/>
</calcChain>
</file>

<file path=xl/sharedStrings.xml><?xml version="1.0" encoding="utf-8"?>
<sst xmlns="http://schemas.openxmlformats.org/spreadsheetml/2006/main" count="30" uniqueCount="24">
  <si>
    <t>Три периода</t>
  </si>
  <si>
    <t>Период отпуска включает выходные</t>
  </si>
  <si>
    <t>Последний день периода должен быть таким, что на следующий день сотрудник выходит на работу</t>
  </si>
  <si>
    <t>Пересечение внутри отдела должно быть минимальным. Согласуется руководителем</t>
  </si>
  <si>
    <t>Заполняем Отдел, ФИО, Даты с-по. Кол-во дней и Итого считается формулами</t>
  </si>
  <si>
    <t>Период 1</t>
  </si>
  <si>
    <t>Период 2</t>
  </si>
  <si>
    <t>Период 3</t>
  </si>
  <si>
    <t xml:space="preserve">Отдел </t>
  </si>
  <si>
    <t>ФИО сотрудника</t>
  </si>
  <si>
    <t>Должность</t>
  </si>
  <si>
    <t>ОТПУСК С (дата начала)</t>
  </si>
  <si>
    <t>Дата окончания</t>
  </si>
  <si>
    <t>НА (количество дней отпуска)</t>
  </si>
  <si>
    <t>Дата начала</t>
  </si>
  <si>
    <t>Кол- во дней</t>
  </si>
  <si>
    <t>Итого</t>
  </si>
  <si>
    <t>Демонстрационная команда 1</t>
  </si>
  <si>
    <t>Иванов Иван Иванович</t>
  </si>
  <si>
    <t>Куратор смысловых потоков</t>
  </si>
  <si>
    <t>Петров Петр Петрович</t>
  </si>
  <si>
    <t>Инженер облачных маршрутов</t>
  </si>
  <si>
    <t>Сидорова Анна Викторовна</t>
  </si>
  <si>
    <t>Навигатор цифровых экспедиций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</si>
</sst>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1"/>
      <name val="Liberation Sans"/>
    </font>
    <font>
      <sz val="11"/>
      <name val="Calibri"/>
    </font>
    <font>
      <sz val="10"/>
      <color theme="1"/>
      <name val="Liberation Sans"/>
    </font>
    <font>
      <b/>
      <sz val="11"/>
      <name val="Calibri"/>
    </font>
    <font>
      <b/>
      <sz val="12"/>
      <name val="Calibri"/>
    </font>
    <font>
      <sz val="12"/>
      <name val="Calibri"/>
    </font>
    <font>
      <sz val="12"/>
      <color rgb="FF9C0006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3" borderId="0" xfId="0" applyFont="1" applyFill="1"/>
    <xf numFmtId="0" fontId="6" fillId="3" borderId="9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" fontId="6" fillId="3" borderId="12" xfId="0" applyNumberFormat="1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vertical="center" wrapText="1"/>
    </xf>
    <xf numFmtId="1" fontId="7" fillId="3" borderId="12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4" fontId="3" fillId="0" borderId="10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1" fontId="7" fillId="2" borderId="13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1" fontId="6" fillId="0" borderId="13" xfId="0" applyNumberFormat="1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vertical="center" wrapText="1"/>
    </xf>
    <xf numFmtId="0" fontId="5" fillId="0" borderId="10" xfId="0" applyFont="1" applyBorder="1" applyAlignment="1">
      <alignment vertical="center"/>
    </xf>
  </cellXfs>
  <cellStyles count="1">
    <cellStyle name="Обычный" xfId="0" builtinId="0"/>
  </cellStyles>
  <dxfs count="3">
    <dxf>
      <font>
        <color theme="1"/>
      </font>
      <fill>
        <patternFill patternType="solid">
          <fgColor rgb="FF70AD47"/>
          <bgColor rgb="FF70AD47"/>
        </patternFill>
      </fill>
    </dxf>
    <dxf>
      <font>
        <color theme="1"/>
      </font>
      <fill>
        <patternFill patternType="solid">
          <fgColor rgb="FF70AD47"/>
          <bgColor rgb="FF70AD47"/>
        </patternFill>
      </fill>
    </dxf>
    <dxf>
      <font>
        <color theme="1"/>
      </font>
      <fill>
        <patternFill patternType="solid">
          <fgColor rgb="FF70AD47"/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Normal="100" workbookViewId="0">
      <pane ySplit="10" topLeftCell="A11" activePane="bottomLeft" state="frozen"/>
      <selection pane="bottomLeft" activeCell="A10" sqref="A10:M10"/>
    </sheetView>
  </sheetViews>
  <sheetFormatPr defaultColWidth="10.42578125" defaultRowHeight="12.75" customHeight="1"/>
  <cols>
    <col min="2" max="3" width="13" customWidth="1"/>
    <col min="4" max="4" width="12.85546875" customWidth="1"/>
    <col min="5" max="5" width="12" customWidth="1"/>
    <col min="7" max="7" width="11.7109375" customWidth="1"/>
    <col min="8" max="8" width="13.5703125" customWidth="1"/>
    <col min="10" max="10" width="11.5703125" customWidth="1"/>
    <col min="11" max="11" width="13.140625" customWidth="1"/>
  </cols>
  <sheetData>
    <row r="1" spans="1:13" ht="15" customHeight="1">
      <c r="A1" s="1"/>
      <c r="B1" s="2" t="s">
        <v>0</v>
      </c>
      <c r="C1" s="2"/>
      <c r="D1" s="2">
        <v>7</v>
      </c>
      <c r="E1" s="3"/>
      <c r="F1" s="3"/>
      <c r="G1" s="3"/>
      <c r="H1" s="3">
        <v>0</v>
      </c>
      <c r="I1" s="3"/>
      <c r="J1" s="3"/>
      <c r="K1" s="3"/>
      <c r="L1" s="3"/>
      <c r="M1" s="3"/>
    </row>
    <row r="2" spans="1:13" ht="15" customHeight="1">
      <c r="A2" s="3"/>
      <c r="B2" s="3"/>
      <c r="C2" s="3"/>
      <c r="D2" s="2">
        <v>7</v>
      </c>
      <c r="E2" s="3"/>
      <c r="F2" s="3"/>
      <c r="G2" s="3"/>
      <c r="H2" s="3">
        <v>7</v>
      </c>
      <c r="I2" s="3"/>
      <c r="J2" s="3"/>
      <c r="K2" s="3"/>
      <c r="L2" s="3"/>
      <c r="M2" s="3"/>
    </row>
    <row r="3" spans="1:13" ht="15" customHeight="1">
      <c r="A3" s="3"/>
      <c r="B3" s="3"/>
      <c r="C3" s="3"/>
      <c r="D3" s="2">
        <v>14</v>
      </c>
      <c r="E3" s="3"/>
      <c r="F3" s="3"/>
      <c r="G3" s="3"/>
      <c r="H3" s="3">
        <v>14</v>
      </c>
      <c r="I3" s="3"/>
      <c r="J3" s="3"/>
      <c r="K3" s="3"/>
      <c r="L3" s="3"/>
      <c r="M3" s="3"/>
    </row>
    <row r="4" spans="1:13" ht="25.5" customHeight="1">
      <c r="A4" s="3"/>
      <c r="B4" s="9" t="s">
        <v>1</v>
      </c>
      <c r="C4" s="10"/>
      <c r="D4" s="11"/>
      <c r="E4" s="3"/>
      <c r="F4" s="3"/>
      <c r="G4" s="3"/>
      <c r="H4" s="3"/>
      <c r="I4" s="3"/>
      <c r="J4" s="3"/>
      <c r="K4" s="3"/>
      <c r="L4" s="3"/>
      <c r="M4" s="3"/>
    </row>
    <row r="5" spans="1:13" ht="22.5" customHeight="1">
      <c r="A5" s="3"/>
      <c r="B5" s="9" t="s">
        <v>2</v>
      </c>
      <c r="C5" s="10"/>
      <c r="D5" s="10"/>
      <c r="E5" s="10"/>
      <c r="F5" s="10"/>
      <c r="G5" s="10"/>
      <c r="H5" s="11"/>
      <c r="I5" s="3"/>
      <c r="J5" s="3"/>
      <c r="K5" s="3"/>
      <c r="L5" s="3"/>
      <c r="M5" s="3"/>
    </row>
    <row r="6" spans="1:13" ht="31.5" customHeight="1">
      <c r="A6" s="3"/>
      <c r="B6" s="9" t="s">
        <v>3</v>
      </c>
      <c r="C6" s="10"/>
      <c r="D6" s="10"/>
      <c r="E6" s="10"/>
      <c r="F6" s="10"/>
      <c r="G6" s="11"/>
      <c r="H6" s="3"/>
      <c r="I6" s="3"/>
      <c r="J6" s="3"/>
      <c r="K6" s="3"/>
      <c r="L6" s="3"/>
      <c r="M6" s="3"/>
    </row>
    <row r="7" spans="1:13" ht="26.25" customHeight="1">
      <c r="A7" s="3"/>
      <c r="B7" s="9" t="s">
        <v>4</v>
      </c>
      <c r="C7" s="10"/>
      <c r="D7" s="10"/>
      <c r="E7" s="10"/>
      <c r="F7" s="10"/>
      <c r="G7" s="11"/>
      <c r="H7" s="3"/>
      <c r="I7" s="3"/>
      <c r="J7" s="3"/>
      <c r="K7" s="3"/>
      <c r="L7" s="3"/>
      <c r="M7" s="3"/>
    </row>
    <row r="8" spans="1:13" ht="15">
      <c r="A8" s="3"/>
      <c r="B8" s="3"/>
      <c r="C8" s="4"/>
      <c r="D8" s="5"/>
      <c r="E8" s="5"/>
      <c r="F8" s="5"/>
      <c r="G8" s="5"/>
      <c r="H8" s="5"/>
      <c r="I8" s="5"/>
      <c r="J8" s="5"/>
      <c r="K8" s="5"/>
      <c r="L8" s="5"/>
      <c r="M8" s="3"/>
    </row>
    <row r="9" spans="1:13" ht="15" customHeight="1">
      <c r="A9" s="4"/>
      <c r="B9" s="26"/>
      <c r="C9" s="6"/>
      <c r="D9" s="27" t="s">
        <v>5</v>
      </c>
      <c r="E9" s="27"/>
      <c r="F9" s="27"/>
      <c r="G9" s="27" t="s">
        <v>6</v>
      </c>
      <c r="H9" s="27"/>
      <c r="I9" s="27"/>
      <c r="J9" s="27" t="s">
        <v>7</v>
      </c>
      <c r="K9" s="27"/>
      <c r="L9" s="27"/>
      <c r="M9" s="4"/>
    </row>
    <row r="10" spans="1:13" ht="63" customHeight="1">
      <c r="A10" s="25" t="s">
        <v>8</v>
      </c>
      <c r="B10" s="25" t="s">
        <v>9</v>
      </c>
      <c r="C10" s="25" t="s">
        <v>10</v>
      </c>
      <c r="D10" s="25" t="s">
        <v>11</v>
      </c>
      <c r="E10" s="25" t="s">
        <v>12</v>
      </c>
      <c r="F10" s="25" t="s">
        <v>13</v>
      </c>
      <c r="G10" s="25" t="s">
        <v>14</v>
      </c>
      <c r="H10" s="25" t="s">
        <v>12</v>
      </c>
      <c r="I10" s="25" t="s">
        <v>15</v>
      </c>
      <c r="J10" s="25" t="s">
        <v>14</v>
      </c>
      <c r="K10" s="25" t="s">
        <v>12</v>
      </c>
      <c r="L10" s="32" t="s">
        <v>15</v>
      </c>
      <c r="M10" s="25" t="s">
        <v>16</v>
      </c>
    </row>
    <row r="11" spans="1:13" ht="63" customHeight="1">
      <c r="A11" s="28" t="s">
        <v>17</v>
      </c>
      <c r="B11" s="28" t="s">
        <v>18</v>
      </c>
      <c r="C11" s="28" t="s">
        <v>19</v>
      </c>
      <c r="D11" s="29">
        <v>46063</v>
      </c>
      <c r="E11" s="29">
        <v>46069</v>
      </c>
      <c r="F11" s="30">
        <v>7</v>
      </c>
      <c r="G11" s="31">
        <v>46198</v>
      </c>
      <c r="H11" s="29">
        <v>46211</v>
      </c>
      <c r="I11" s="30">
        <v>14</v>
      </c>
      <c r="J11" s="31">
        <v>46336</v>
      </c>
      <c r="K11" s="29">
        <v>46342</v>
      </c>
      <c r="L11" s="30">
        <v>7</v>
      </c>
      <c r="M11" s="24">
        <v>28</v>
      </c>
    </row>
    <row r="12" spans="1:13" s="7" customFormat="1" ht="63" customHeight="1">
      <c r="A12" s="8" t="s">
        <v>17</v>
      </c>
      <c r="B12" s="13" t="s">
        <v>20</v>
      </c>
      <c r="C12" s="13" t="s">
        <v>21</v>
      </c>
      <c r="D12" s="14">
        <v>46062</v>
      </c>
      <c r="E12" s="14">
        <v>46068</v>
      </c>
      <c r="F12" s="15">
        <v>7</v>
      </c>
      <c r="G12" s="16">
        <v>46209</v>
      </c>
      <c r="H12" s="14">
        <f t="shared" ref="H12:H13" si="0">G12+I12-1</f>
        <v>46222</v>
      </c>
      <c r="I12" s="15">
        <v>14</v>
      </c>
      <c r="J12" s="16">
        <v>46286</v>
      </c>
      <c r="K12" s="14">
        <f t="shared" ref="K12:K13" si="1">J12+L12-1</f>
        <v>46292</v>
      </c>
      <c r="L12" s="15">
        <v>7</v>
      </c>
      <c r="M12" s="17">
        <f t="shared" ref="M12:M13" si="2">SUM(F12+I12+L12)</f>
        <v>28</v>
      </c>
    </row>
    <row r="13" spans="1:13" ht="63" customHeight="1">
      <c r="A13" s="12" t="s">
        <v>17</v>
      </c>
      <c r="B13" s="18" t="s">
        <v>22</v>
      </c>
      <c r="C13" s="18" t="s">
        <v>23</v>
      </c>
      <c r="D13" s="19">
        <v>46174</v>
      </c>
      <c r="E13" s="20">
        <f t="shared" ref="E13" si="3">D13+F13-1</f>
        <v>46180</v>
      </c>
      <c r="F13" s="21">
        <v>7</v>
      </c>
      <c r="G13" s="20">
        <v>46258</v>
      </c>
      <c r="H13" s="20">
        <f t="shared" si="0"/>
        <v>46271</v>
      </c>
      <c r="I13" s="21">
        <v>14</v>
      </c>
      <c r="J13" s="22">
        <v>46380</v>
      </c>
      <c r="K13" s="20">
        <f t="shared" si="1"/>
        <v>46386</v>
      </c>
      <c r="L13" s="21">
        <v>7</v>
      </c>
      <c r="M13" s="23">
        <f t="shared" si="2"/>
        <v>28</v>
      </c>
    </row>
  </sheetData>
  <autoFilter ref="A10:M13" xr:uid="{00000000-0009-0000-0000-000000000000}"/>
  <mergeCells count="7">
    <mergeCell ref="J9:L9"/>
    <mergeCell ref="B4:D4"/>
    <mergeCell ref="B5:H5"/>
    <mergeCell ref="B6:G6"/>
    <mergeCell ref="B7:G7"/>
    <mergeCell ref="D9:F9"/>
    <mergeCell ref="G9:I9"/>
  </mergeCells>
  <conditionalFormatting sqref="M11:M13">
    <cfRule type="cellIs" dxfId="2" priority="2" operator="equal">
      <formula>28</formula>
    </cfRule>
  </conditionalFormatting>
  <dataValidations count="1">
    <dataValidation type="list" showInputMessage="1" showErrorMessage="1" sqref="F11:F13 I11:I13 L11:L13" xr:uid="{00000000-0002-0000-0000-000000000000}">
      <formula1>$H$1:$H$3</formula1>
    </dataValidation>
  </dataValidations>
  <pageMargins left="0.7" right="0.7" top="0.75" bottom="0.75" header="0.51181102362204689" footer="0.51181102362204689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_ФильтрБазыДанных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64</cp:revision>
  <dcterms:created xsi:type="dcterms:W3CDTF">2023-08-25T14:01:22Z</dcterms:created>
  <dcterms:modified xsi:type="dcterms:W3CDTF">2026-04-12T09:06:02Z</dcterms:modified>
  <dc:language>ru-RU</dc:language>
</cp:coreProperties>
</file>