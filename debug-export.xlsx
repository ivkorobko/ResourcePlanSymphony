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925" yWindow="1125" windowWidth="28800" windowHeight="11295"/>
  </bookViews>
  <sheets>
    <sheet sheetId="1" name="Сводный ресурсный план" state="visible" r:id="rId4"/>
    <sheet sheetId="2" name="Детальный ресурсный план " state="visible" r:id="rId5"/>
    <sheet sheetId="3" name="Типовые задачи" state="visible" r:id="rId6"/>
  </sheets>
  <calcPr calcId="171027" fullCalcOnLoad="1"/>
</workbook>
</file>

<file path=xl/sharedStrings.xml><?xml version="1.0" encoding="utf-8"?>
<sst xmlns="http://schemas.openxmlformats.org/spreadsheetml/2006/main" count="132" uniqueCount="81">
  <si>
    <t>Ресурсный план Апрель - Июнь 2026</t>
  </si>
  <si>
    <t xml:space="preserve">Распределение времени по кварталу </t>
  </si>
  <si>
    <t xml:space="preserve">Всего </t>
  </si>
  <si>
    <t xml:space="preserve">План на 1 сотрудника </t>
  </si>
  <si>
    <t>Задачи бизнеса</t>
  </si>
  <si>
    <t xml:space="preserve"> Должность </t>
  </si>
  <si>
    <t xml:space="preserve">Часов в спринте для расчета времени на ТЗ  </t>
  </si>
  <si>
    <t xml:space="preserve">Сопровождение </t>
  </si>
  <si>
    <t xml:space="preserve">Ключевые задачи  (развитие бизнеса)  - от общего количества времени </t>
  </si>
  <si>
    <t>Аналитик</t>
  </si>
  <si>
    <t xml:space="preserve">Задачи поддержки (текущие небольшие задачи) </t>
  </si>
  <si>
    <t>Разработчик</t>
  </si>
  <si>
    <t xml:space="preserve">Внутренние задачи </t>
  </si>
  <si>
    <t>Тестировщик</t>
  </si>
  <si>
    <t>Задачи архитектуры</t>
  </si>
  <si>
    <t>Руководитель разработки</t>
  </si>
  <si>
    <t xml:space="preserve">Прочие задачи ИТ (заявки админов, баги, рефакторинг и прочее) </t>
  </si>
  <si>
    <t>Руководитель аналитиков</t>
  </si>
  <si>
    <t>3 спринт (полный, без учета отпусков)</t>
  </si>
  <si>
    <t>1 месяц</t>
  </si>
  <si>
    <t>4 спринта</t>
  </si>
  <si>
    <t>Итого</t>
  </si>
  <si>
    <t>2 месяц</t>
  </si>
  <si>
    <t>3 месяц</t>
  </si>
  <si>
    <t>5 спринтов</t>
  </si>
  <si>
    <t>Итого период</t>
  </si>
  <si>
    <t>Кол-во раб.дней</t>
  </si>
  <si>
    <t>№ спринта</t>
  </si>
  <si>
    <t>Итого апрель</t>
  </si>
  <si>
    <t>Итого май</t>
  </si>
  <si>
    <t>Итого июнь</t>
  </si>
  <si>
    <t>Дата спринта</t>
  </si>
  <si>
    <t>06.04-12.04</t>
  </si>
  <si>
    <t>13.04-19.04</t>
  </si>
  <si>
    <t>20.04-26.04</t>
  </si>
  <si>
    <t>27.04-03.05</t>
  </si>
  <si>
    <t>04.05-10.05</t>
  </si>
  <si>
    <t>11.05-17.05</t>
  </si>
  <si>
    <t>18.05-24.05</t>
  </si>
  <si>
    <t>25.05-31.05</t>
  </si>
  <si>
    <t>01.06-07.06</t>
  </si>
  <si>
    <t>08.06-14.06</t>
  </si>
  <si>
    <t>15.06-21.06</t>
  </si>
  <si>
    <t>22.06-28.06</t>
  </si>
  <si>
    <t>29.06-05.07</t>
  </si>
  <si>
    <t>Благушина Валерия Игоревна</t>
  </si>
  <si>
    <t>Корсакова Алеся Анатольевна</t>
  </si>
  <si>
    <t>Байдакова Евгения</t>
  </si>
  <si>
    <t>Итого Аналитик</t>
  </si>
  <si>
    <t>Кремповский Павел Романович</t>
  </si>
  <si>
    <t>Кузин Арсений Геннадьевич</t>
  </si>
  <si>
    <t>Копелович Елизавета Кирилловна</t>
  </si>
  <si>
    <t>Итого Тестировщик</t>
  </si>
  <si>
    <t>Бутенко Илья Денисович</t>
  </si>
  <si>
    <t>Луха Олег Валентинович</t>
  </si>
  <si>
    <t>Гальцев Олег Владимирович</t>
  </si>
  <si>
    <t>Итого Разработчик</t>
  </si>
  <si>
    <t xml:space="preserve">Всего часов в спринте </t>
  </si>
  <si>
    <t>ТЗ</t>
  </si>
  <si>
    <t>Описание работ</t>
  </si>
  <si>
    <t>Сопровождение</t>
  </si>
  <si>
    <t xml:space="preserve">Описание работ </t>
  </si>
  <si>
    <t>Прочие задачи</t>
  </si>
  <si>
    <t>15</t>
  </si>
  <si>
    <t>Время на сбор требований,  написание ТЗ, согласование ТЗ и ответы на вопросы при согласовании ТЗ</t>
  </si>
  <si>
    <t>тестирование по бизнес-процессам, сопровождение задачи после выкатки на бой</t>
  </si>
  <si>
    <t>Организационные встречи (митапы, ретро). Рабочие встречи с заказчиками (в том числе внутренними) для обсуждения предстоящих работ (по которым еще нет задач в Битрикс/Jira)</t>
  </si>
  <si>
    <t>Разработка</t>
  </si>
  <si>
    <t>Исправление багов при разработке</t>
  </si>
  <si>
    <t>25</t>
  </si>
  <si>
    <t>Время на разработку задач спринта</t>
  </si>
  <si>
    <t>Время на исправление багов по задачам спринта</t>
  </si>
  <si>
    <t>Организационные встречи (митапы, ретро), оценка задач, код-ревью, обсуждение задач вне задач спринта</t>
  </si>
  <si>
    <t>Тестирование</t>
  </si>
  <si>
    <t>Баги с прода</t>
  </si>
  <si>
    <t>Тестирование задач спринта</t>
  </si>
  <si>
    <t>Анализ выявленных багов с прода, постановка багов разработчикам или объяснение корректности работы</t>
  </si>
  <si>
    <t>Организационные встречи (митапы, ретро и проче), обсуждение задач вне задач спринта</t>
  </si>
  <si>
    <t/>
  </si>
  <si>
    <t>5</t>
  </si>
  <si>
    <t>время, учитываемое при планировании квартальных задач (любых)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</si>
</sst>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14"/>
      <name val="Calibri"/>
    </font>
    <font>
      <b/>
      <charset val="204"/>
      <color theme="1"/>
      <family val="2"/>
      <scheme val="minor"/>
      <sz val="12"/>
      <name val="Calibri"/>
    </font>
    <font>
      <b/>
      <charset val="204"/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  <font>
      <i/>
      <charset val="204"/>
      <color theme="1"/>
      <family val="2"/>
      <scheme val="minor"/>
      <sz val="11"/>
      <name val="Calibri"/>
    </font>
    <font>
      <charset val="204"/>
      <color theme="1"/>
      <family val="2"/>
      <scheme val="minor"/>
      <sz val="12"/>
      <name val="Calibri"/>
    </font>
    <font>
      <charset val="204"/>
      <color theme="1"/>
      <family val="2"/>
      <scheme val="minor"/>
      <sz val="10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D8E6"/>
      </left>
      <right style="thin">
        <color rgb="FFCCD8E6"/>
      </right>
      <top style="thin">
        <color rgb="FFCCD8E6"/>
      </top>
      <bottom style="thin">
        <color rgb="FFCCD8E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4" fillId="3" borderId="1" xfId="0" applyNumberFormat="1" applyFont="1" applyFill="1" applyBorder="1"/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2" xfId="0" applyFont="1" applyBorder="1"/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4" borderId="1" xfId="0" applyFont="1" applyFill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 zoomScaleNormal="100">
      <selection activeCell="C1" sqref="C1"/>
    </sheetView>
  </sheetViews>
  <sheetFormatPr defaultRowHeight="15" outlineLevelRow="0" outlineLevelCol="0" x14ac:dyDescent="0.25"/>
  <cols>
    <col min="1" max="1" width="13.85546875" customWidth="1"/>
    <col min="2" max="2" width="27.28515625" customWidth="1"/>
    <col min="3" max="3" width="13.7109375" customWidth="1"/>
    <col min="4" max="4" width="12.7109375" customWidth="1"/>
    <col min="5" max="6" width="17.5703125" customWidth="1"/>
    <col min="7" max="7" width="16.28515625" customWidth="1"/>
    <col min="8" max="8" width="23.42578125" customWidth="1"/>
    <col min="9" max="9" width="15.85546875" customWidth="1"/>
    <col min="10" max="10" width="11" customWidth="1"/>
  </cols>
  <sheetData>
    <row r="1" ht="18.75" customHeight="1" spans="1:1" s="1" customFormat="1" x14ac:dyDescent="0.25">
      <c r="A1" s="1" t="s">
        <v>0</v>
      </c>
    </row>
    <row r="3" ht="15.75" customHeight="1" spans="1:1" s="2" customFormat="1" x14ac:dyDescent="0.25">
      <c r="A3" s="2" t="s">
        <v>1</v>
      </c>
    </row>
    <row r="4" ht="8.25" customHeight="1" s="2" customFormat="1" x14ac:dyDescent="0.25"/>
    <row r="5" spans="1:6" s="3" customFormat="1" x14ac:dyDescent="0.25">
      <c r="A5" s="4" t="s">
        <v>2</v>
      </c>
      <c r="B5" s="4"/>
      <c r="C5" s="5">
        <f>C6+C9</f>
        <v>1</v>
      </c>
      <c r="F5" s="3" t="s">
        <v>3</v>
      </c>
    </row>
    <row r="6" ht="30" customHeight="1" spans="1:9" s="3" customFormat="1" x14ac:dyDescent="0.25">
      <c r="A6" s="4" t="s">
        <v>4</v>
      </c>
      <c r="B6" s="4"/>
      <c r="C6" s="6">
        <f>C7+C8</f>
        <v>0.7000000000000001</v>
      </c>
      <c r="G6" s="7" t="s">
        <v>5</v>
      </c>
      <c r="H6" s="8" t="s">
        <v>6</v>
      </c>
      <c r="I6" s="8" t="s">
        <v>7</v>
      </c>
    </row>
    <row r="7" ht="60" customHeight="1" spans="1:9" x14ac:dyDescent="0.25">
      <c r="A7" s="9"/>
      <c r="B7" s="9" t="s">
        <v>8</v>
      </c>
      <c r="C7" s="10">
        <v>0.55</v>
      </c>
      <c r="F7" s="3"/>
      <c r="G7" s="11" t="s">
        <v>9</v>
      </c>
      <c r="H7" s="12">
        <v>15</v>
      </c>
      <c r="I7" s="12">
        <v>10</v>
      </c>
    </row>
    <row r="8" ht="45" customHeight="1" spans="1:10" x14ac:dyDescent="0.25">
      <c r="A8" s="9"/>
      <c r="B8" s="9" t="s">
        <v>10</v>
      </c>
      <c r="C8" s="10">
        <v>0.15</v>
      </c>
      <c r="G8" s="11" t="s">
        <v>11</v>
      </c>
      <c r="H8" s="12">
        <v>25</v>
      </c>
      <c r="I8" s="12">
        <v>5</v>
      </c>
      <c r="J8" s="3"/>
    </row>
    <row r="9" ht="30" customHeight="1" spans="1:9" s="3" customFormat="1" x14ac:dyDescent="0.25">
      <c r="A9" s="4" t="s">
        <v>12</v>
      </c>
      <c r="B9" s="4"/>
      <c r="C9" s="6">
        <f>C10+C11</f>
        <v>0.3</v>
      </c>
      <c r="G9" s="11" t="s">
        <v>13</v>
      </c>
      <c r="H9" s="12">
        <v>25</v>
      </c>
      <c r="I9" s="12">
        <v>5</v>
      </c>
    </row>
    <row r="10" spans="1:9" x14ac:dyDescent="0.25">
      <c r="A10" s="9"/>
      <c r="B10" s="9" t="s">
        <v>14</v>
      </c>
      <c r="C10" s="10">
        <v>0.15</v>
      </c>
      <c r="F10" s="3"/>
      <c r="G10" s="11" t="s">
        <v>15</v>
      </c>
      <c r="H10" s="12">
        <v>15</v>
      </c>
      <c r="I10" s="12">
        <v>0</v>
      </c>
    </row>
    <row r="11" ht="45" customHeight="1" spans="1:9" x14ac:dyDescent="0.25">
      <c r="A11" s="9"/>
      <c r="B11" s="9" t="s">
        <v>16</v>
      </c>
      <c r="C11" s="10">
        <v>0.15</v>
      </c>
      <c r="F11" s="13"/>
      <c r="G11" s="11" t="s">
        <v>17</v>
      </c>
      <c r="H11" s="12">
        <v>5</v>
      </c>
      <c r="I11" s="12">
        <v>0</v>
      </c>
    </row>
    <row r="14" ht="15.75" customHeight="1" spans="1:10" s="14" customFormat="1" x14ac:dyDescent="0.25">
      <c r="A14" s="15" t="s">
        <v>18</v>
      </c>
      <c r="B14" s="15"/>
      <c r="C14" s="15"/>
      <c r="D14" s="15"/>
      <c r="E14" s="16"/>
      <c r="F14" s="16"/>
      <c r="G14" s="16"/>
      <c r="H14" s="17"/>
      <c r="I14" s="17"/>
      <c r="J14" s="17"/>
    </row>
    <row r="15" ht="30" customHeight="1" spans="1:10" s="18" customFormat="1" x14ac:dyDescent="0.25">
      <c r="A15" s="8"/>
      <c r="B15" s="8"/>
      <c r="C15" s="8"/>
      <c r="D15" s="8"/>
      <c r="E15" s="8"/>
      <c r="F15" s="8"/>
      <c r="G15" s="8"/>
      <c r="H15" s="18"/>
      <c r="I15" s="18"/>
      <c r="J15" s="18"/>
    </row>
    <row r="16" spans="1:10" x14ac:dyDescent="0.25">
      <c r="A16" s="19" t="s">
        <v>9</v>
      </c>
      <c r="B16" s="20">
        <v>3</v>
      </c>
      <c r="C16" s="20">
        <f>G16*$C$7</f>
        <v>24.750000000000004</v>
      </c>
      <c r="D16" s="20">
        <f>G16*$C$8</f>
        <v>6.75</v>
      </c>
      <c r="E16" s="20">
        <f>G16*$C$10</f>
        <v>6.75</v>
      </c>
      <c r="F16" s="20">
        <f>G16*$C$11</f>
        <v>6.75</v>
      </c>
      <c r="G16" s="20">
        <v>45</v>
      </c>
      <c r="H16" s="21"/>
      <c r="I16" s="21"/>
      <c r="J16" s="21"/>
    </row>
    <row r="17" spans="1:10" x14ac:dyDescent="0.25">
      <c r="A17" s="19" t="s">
        <v>13</v>
      </c>
      <c r="B17" s="20">
        <v>3</v>
      </c>
      <c r="C17" s="20">
        <f>G17*$C$7</f>
        <v>41.25</v>
      </c>
      <c r="D17" s="20">
        <f>G17*$C$8</f>
        <v>11.25</v>
      </c>
      <c r="E17" s="20">
        <f>G17*$C$10</f>
        <v>11.25</v>
      </c>
      <c r="F17" s="20">
        <f>G17*$C$11</f>
        <v>11.25</v>
      </c>
      <c r="G17" s="20">
        <v>75</v>
      </c>
      <c r="H17" s="21"/>
      <c r="I17" s="21"/>
      <c r="J17" s="21"/>
    </row>
    <row r="18" spans="1:10" x14ac:dyDescent="0.25">
      <c r="A18" s="19" t="s">
        <v>11</v>
      </c>
      <c r="B18" s="20">
        <v>3</v>
      </c>
      <c r="C18" s="20">
        <f>G18*$C$7</f>
        <v>41.25</v>
      </c>
      <c r="D18" s="20">
        <f>G18*$C$8</f>
        <v>11.25</v>
      </c>
      <c r="E18" s="20">
        <f>G18*$C$10</f>
        <v>11.25</v>
      </c>
      <c r="F18" s="20">
        <f>G18*$C$11</f>
        <v>11.25</v>
      </c>
      <c r="G18" s="20">
        <v>75</v>
      </c>
      <c r="H18" s="21"/>
      <c r="I18" s="21"/>
      <c r="J18" s="21"/>
    </row>
    <row r="19" spans="1:9" x14ac:dyDescent="0.25">
      <c r="A19" s="19"/>
      <c r="B19" s="20">
        <f>SUM(B16:B18)</f>
        <v>9</v>
      </c>
      <c r="C19" s="20">
        <f>SUM(C16:C18)</f>
        <v>107.25</v>
      </c>
      <c r="D19" s="20">
        <f>SUM(D16:D18)</f>
        <v>29.25</v>
      </c>
      <c r="E19" s="20">
        <f>SUM(E16:E18)</f>
        <v>29.25</v>
      </c>
      <c r="F19" s="20">
        <f>SUM(F16:F18)</f>
        <v>29.25</v>
      </c>
      <c r="G19" s="20">
        <f>SUM(G16:G18)</f>
        <v>195</v>
      </c>
    </row>
    <row r="20" spans="1:9" x14ac:dyDescent="0.25"/>
    <row r="21" ht="15.75" customHeight="1" spans="1:9" x14ac:dyDescent="0.25">
      <c r="A21" s="22" t="s">
        <v>19</v>
      </c>
      <c r="B21" s="2" t="s">
        <v>20</v>
      </c>
      <c r="C21" s="2"/>
      <c r="D21" s="2"/>
      <c r="E21" s="2"/>
      <c r="F21" s="2"/>
      <c r="G21" s="2"/>
      <c r="H21" s="2"/>
      <c r="I21" s="2"/>
    </row>
    <row r="22" ht="30" customHeight="1" spans="1:9" s="2" customFormat="1" x14ac:dyDescent="0.25">
      <c r="A22" s="23"/>
      <c r="B22" s="23"/>
      <c r="C22" s="23"/>
      <c r="D22" s="23"/>
      <c r="E22" s="23"/>
      <c r="F22" s="23"/>
      <c r="G22" s="23"/>
    </row>
    <row r="23" spans="1:9" x14ac:dyDescent="0.25">
      <c r="A23" s="19" t="s">
        <v>9</v>
      </c>
      <c r="B23" s="20">
        <v>3</v>
      </c>
      <c r="C23" s="24">
        <f>G23*$C$7</f>
        <v>85.80000000000001</v>
      </c>
      <c r="D23" s="24">
        <f>G23*$C$8</f>
        <v>23.4</v>
      </c>
      <c r="E23" s="24">
        <f>G23*$C$10</f>
        <v>23.4</v>
      </c>
      <c r="F23" s="24">
        <f>G23*$C$11</f>
        <v>23.4</v>
      </c>
      <c r="G23" s="24">
        <f>'Детальный ресурсный план '!F7</f>
        <v>156</v>
      </c>
    </row>
    <row r="24" spans="1:9" x14ac:dyDescent="0.25">
      <c r="A24" s="19" t="s">
        <v>13</v>
      </c>
      <c r="B24" s="20">
        <v>3</v>
      </c>
      <c r="C24" s="24">
        <f>G24*$C$7</f>
        <v>115.50000000000001</v>
      </c>
      <c r="D24" s="24">
        <f>G24*$C$8</f>
        <v>31.5</v>
      </c>
      <c r="E24" s="24">
        <f>G24*$C$10</f>
        <v>31.5</v>
      </c>
      <c r="F24" s="24">
        <f>G24*$C$11</f>
        <v>31.5</v>
      </c>
      <c r="G24" s="24">
        <f>'Детальный ресурсный план '!F12</f>
        <v>210</v>
      </c>
    </row>
    <row r="25" spans="1:9" x14ac:dyDescent="0.25">
      <c r="A25" s="19" t="s">
        <v>11</v>
      </c>
      <c r="B25" s="20">
        <v>3</v>
      </c>
      <c r="C25" s="24">
        <f>G25*$C$7</f>
        <v>143</v>
      </c>
      <c r="D25" s="24">
        <f>G25*$C$8</f>
        <v>39</v>
      </c>
      <c r="E25" s="24">
        <f>G25*$C$10</f>
        <v>39</v>
      </c>
      <c r="F25" s="24">
        <f>G25*$C$11</f>
        <v>39</v>
      </c>
      <c r="G25" s="24">
        <f>'Детальный ресурсный план '!F17</f>
        <v>260</v>
      </c>
    </row>
    <row r="26" spans="1:9" x14ac:dyDescent="0.25">
      <c r="A26" s="19" t="s">
        <v>21</v>
      </c>
      <c r="B26" s="20">
        <f>SUM(B23:B25)</f>
        <v>9</v>
      </c>
      <c r="C26" s="19">
        <f>SUM(C23:C25)</f>
        <v>344.3</v>
      </c>
      <c r="D26" s="19">
        <f>SUM(D23:D25)</f>
        <v>93.9</v>
      </c>
      <c r="E26" s="19">
        <f>SUM(E23:E25)</f>
        <v>93.9</v>
      </c>
      <c r="F26" s="19">
        <f>SUM(F23:F25)</f>
        <v>93.9</v>
      </c>
      <c r="G26" s="19">
        <f>SUM(G23:G25)</f>
        <v>626</v>
      </c>
    </row>
    <row r="27" spans="1:9" x14ac:dyDescent="0.25"/>
    <row r="28" ht="30" customHeight="1" spans="1:9" x14ac:dyDescent="0.25">
      <c r="A28" s="23" t="s">
        <v>22</v>
      </c>
      <c r="B28" s="23" t="s">
        <v>20</v>
      </c>
      <c r="C28" s="23"/>
      <c r="D28" s="23"/>
      <c r="E28" s="23"/>
      <c r="F28" s="23"/>
      <c r="G28" s="23"/>
    </row>
    <row r="29" ht="30" customHeight="1" spans="1:9" x14ac:dyDescent="0.25">
      <c r="A29" s="23"/>
      <c r="B29" s="23"/>
      <c r="C29" s="23"/>
      <c r="D29" s="23"/>
      <c r="E29" s="23"/>
      <c r="F29" s="23"/>
      <c r="G29" s="23"/>
    </row>
    <row r="30" spans="1:9" s="2" customFormat="1" x14ac:dyDescent="0.25">
      <c r="A30" s="19" t="s">
        <v>9</v>
      </c>
      <c r="B30" s="20">
        <v>3</v>
      </c>
      <c r="C30" s="24">
        <f>G30*$C$7</f>
        <v>94.05000000000001</v>
      </c>
      <c r="D30" s="24">
        <f>G30*$C$8</f>
        <v>25.65</v>
      </c>
      <c r="E30" s="24">
        <f>G30*$C$10</f>
        <v>25.65</v>
      </c>
      <c r="F30" s="24">
        <f>G30*$C$11</f>
        <v>25.65</v>
      </c>
      <c r="G30" s="24">
        <f>'Детальный ресурсный план '!K7</f>
        <v>171</v>
      </c>
    </row>
    <row r="31" spans="1:9" x14ac:dyDescent="0.25">
      <c r="A31" s="19" t="s">
        <v>13</v>
      </c>
      <c r="B31" s="20">
        <v>3</v>
      </c>
      <c r="C31" s="24">
        <f>G31*$C$7</f>
        <v>156.75</v>
      </c>
      <c r="D31" s="24">
        <f>G31*$C$8</f>
        <v>42.75</v>
      </c>
      <c r="E31" s="24">
        <f>G31*$C$10</f>
        <v>42.75</v>
      </c>
      <c r="F31" s="24">
        <f>G31*$C$11</f>
        <v>42.75</v>
      </c>
      <c r="G31" s="24">
        <f>'Детальный ресурсный план '!K12</f>
        <v>285</v>
      </c>
    </row>
    <row r="32" spans="1:9" x14ac:dyDescent="0.25">
      <c r="A32" s="19" t="s">
        <v>11</v>
      </c>
      <c r="B32" s="20">
        <v>3</v>
      </c>
      <c r="C32" s="24">
        <f>G32*$C$7</f>
        <v>143</v>
      </c>
      <c r="D32" s="24">
        <f>G32*$C$8</f>
        <v>39</v>
      </c>
      <c r="E32" s="24">
        <f>G32*$C$10</f>
        <v>39</v>
      </c>
      <c r="F32" s="24">
        <f>G32*$C$11</f>
        <v>39</v>
      </c>
      <c r="G32" s="24">
        <f>'Детальный ресурсный план '!K17</f>
        <v>260</v>
      </c>
    </row>
    <row r="33" spans="1:9" x14ac:dyDescent="0.25">
      <c r="A33" s="19" t="s">
        <v>21</v>
      </c>
      <c r="B33" s="20">
        <f>SUM(B30:B32)</f>
        <v>9</v>
      </c>
      <c r="C33" s="19">
        <f>SUM(C30:C32)</f>
        <v>393.8</v>
      </c>
      <c r="D33" s="19">
        <f>SUM(D30:D32)</f>
        <v>107.4</v>
      </c>
      <c r="E33" s="19">
        <f>SUM(E30:E32)</f>
        <v>107.4</v>
      </c>
      <c r="F33" s="19">
        <f>SUM(F30:F32)</f>
        <v>107.4</v>
      </c>
      <c r="G33" s="19">
        <f>SUM(G30:G32)</f>
        <v>716</v>
      </c>
    </row>
    <row r="34" spans="1:9" x14ac:dyDescent="0.25"/>
    <row r="35" ht="30" customHeight="1" spans="1:9" x14ac:dyDescent="0.25">
      <c r="A35" s="23" t="s">
        <v>23</v>
      </c>
      <c r="B35" s="23" t="s">
        <v>24</v>
      </c>
      <c r="C35" s="23"/>
      <c r="D35" s="23"/>
      <c r="E35" s="23"/>
      <c r="F35" s="23"/>
      <c r="G35" s="23"/>
    </row>
    <row r="36" ht="30" customHeight="1" spans="1:9" x14ac:dyDescent="0.25">
      <c r="A36" s="23"/>
      <c r="B36" s="23"/>
      <c r="C36" s="23"/>
      <c r="D36" s="23"/>
      <c r="E36" s="23"/>
      <c r="F36" s="23"/>
      <c r="G36" s="23"/>
    </row>
    <row r="37" spans="1:9" x14ac:dyDescent="0.25">
      <c r="A37" s="19" t="s">
        <v>9</v>
      </c>
      <c r="B37" s="20">
        <v>3</v>
      </c>
      <c r="C37" s="24">
        <f>G37*$C$7</f>
        <v>95.7</v>
      </c>
      <c r="D37" s="24">
        <f>G37*$C$8</f>
        <v>26.099999999999998</v>
      </c>
      <c r="E37" s="24">
        <f>G37*$C$10</f>
        <v>26.099999999999998</v>
      </c>
      <c r="F37" s="24">
        <f>G37*$C$11</f>
        <v>26.099999999999998</v>
      </c>
      <c r="G37" s="24">
        <f>'Детальный ресурсный план '!Q7</f>
        <v>174</v>
      </c>
    </row>
    <row r="38" spans="1:9" s="2" customFormat="1" x14ac:dyDescent="0.25">
      <c r="A38" s="19" t="s">
        <v>13</v>
      </c>
      <c r="B38" s="20">
        <v>3</v>
      </c>
      <c r="C38" s="24">
        <f>G38*$C$7</f>
        <v>159.5</v>
      </c>
      <c r="D38" s="24">
        <f>G38*$C$8</f>
        <v>43.5</v>
      </c>
      <c r="E38" s="24">
        <f>G38*$C$10</f>
        <v>43.5</v>
      </c>
      <c r="F38" s="24">
        <f>G38*$C$11</f>
        <v>43.5</v>
      </c>
      <c r="G38" s="24">
        <f>'Детальный ресурсный план '!Q12</f>
        <v>290</v>
      </c>
    </row>
    <row r="39" spans="1:9" x14ac:dyDescent="0.25">
      <c r="A39" s="19" t="s">
        <v>11</v>
      </c>
      <c r="B39" s="20">
        <v>3</v>
      </c>
      <c r="C39" s="24">
        <f>G39*$C$7</f>
        <v>173.25</v>
      </c>
      <c r="D39" s="24">
        <f>G39*$C$8</f>
        <v>47.25</v>
      </c>
      <c r="E39" s="24">
        <f>G39*$C$10</f>
        <v>47.25</v>
      </c>
      <c r="F39" s="24">
        <f>G39*$C$11</f>
        <v>47.25</v>
      </c>
      <c r="G39" s="24">
        <f>'Детальный ресурсный план '!Q17</f>
        <v>315</v>
      </c>
    </row>
    <row r="40" spans="1:9" x14ac:dyDescent="0.25">
      <c r="A40" s="19" t="s">
        <v>21</v>
      </c>
      <c r="B40" s="20">
        <f>SUM(B37:B39)</f>
        <v>9</v>
      </c>
      <c r="C40" s="19">
        <f>SUM(C37:C39)</f>
        <v>428.45</v>
      </c>
      <c r="D40" s="19">
        <f>SUM(D37:D39)</f>
        <v>116.85</v>
      </c>
      <c r="E40" s="19">
        <f>SUM(E37:E39)</f>
        <v>116.85</v>
      </c>
      <c r="F40" s="19">
        <f>SUM(F37:F39)</f>
        <v>116.85</v>
      </c>
      <c r="G40" s="19">
        <f>SUM(G37:G39)</f>
        <v>779</v>
      </c>
    </row>
    <row r="41" spans="1:9" x14ac:dyDescent="0.25"/>
    <row r="42" ht="31.5" customHeight="1" spans="1:9" x14ac:dyDescent="0.25">
      <c r="A42" s="22" t="s">
        <v>25</v>
      </c>
    </row>
    <row r="43" ht="30" customHeight="1" spans="1:9" x14ac:dyDescent="0.25">
      <c r="A43" s="23"/>
      <c r="B43" s="23"/>
      <c r="C43" s="23"/>
      <c r="D43" s="23"/>
      <c r="E43" s="23"/>
      <c r="F43" s="23"/>
      <c r="G43" s="23"/>
    </row>
    <row r="44" spans="1:9" x14ac:dyDescent="0.25">
      <c r="A44" s="19" t="s">
        <v>9</v>
      </c>
      <c r="B44" s="25">
        <v>3</v>
      </c>
      <c r="C44" s="26">
        <f>C23+C30+C37</f>
        <v>275.55</v>
      </c>
      <c r="D44" s="26">
        <f>D23+D30+D37</f>
        <v>75.14999999999999</v>
      </c>
      <c r="E44" s="26">
        <f>E23+E30+E37</f>
        <v>75.14999999999999</v>
      </c>
      <c r="F44" s="26">
        <f>F23+F30+F37</f>
        <v>75.14999999999999</v>
      </c>
      <c r="G44" s="26">
        <f>G23+G30+G37</f>
        <v>501</v>
      </c>
    </row>
    <row r="45" spans="1:9" x14ac:dyDescent="0.25">
      <c r="A45" s="19" t="s">
        <v>13</v>
      </c>
      <c r="B45" s="25">
        <v>3</v>
      </c>
      <c r="C45" s="26">
        <f>C24+C31+C38</f>
        <v>431.75</v>
      </c>
      <c r="D45" s="26">
        <f>D24+D31+D38</f>
        <v>117.75</v>
      </c>
      <c r="E45" s="26">
        <f>E24+E31+E38</f>
        <v>117.75</v>
      </c>
      <c r="F45" s="26">
        <f>F24+F31+F38</f>
        <v>117.75</v>
      </c>
      <c r="G45" s="26">
        <f>G24+G31+G38</f>
        <v>785</v>
      </c>
    </row>
    <row r="46" spans="1:9" x14ac:dyDescent="0.25">
      <c r="A46" s="19" t="s">
        <v>11</v>
      </c>
      <c r="B46" s="25">
        <v>3</v>
      </c>
      <c r="C46" s="26">
        <f>C25+C32+C39</f>
        <v>459.25</v>
      </c>
      <c r="D46" s="26">
        <f>D25+D32+D39</f>
        <v>125.25</v>
      </c>
      <c r="E46" s="26">
        <f>E25+E32+E39</f>
        <v>125.25</v>
      </c>
      <c r="F46" s="26">
        <f>F25+F32+F39</f>
        <v>125.25</v>
      </c>
      <c r="G46" s="26">
        <f>G25+G32+G39</f>
        <v>835</v>
      </c>
    </row>
    <row r="47" spans="1:9" x14ac:dyDescent="0.25">
      <c r="A47" s="19" t="s">
        <v>21</v>
      </c>
      <c r="B47" s="25">
        <f>SUM(B44:B46)</f>
        <v>9</v>
      </c>
      <c r="C47" s="26">
        <f>SUM(C44:C46)</f>
        <v>1166.55</v>
      </c>
      <c r="D47" s="26">
        <f>SUM(D44:D46)</f>
        <v>318.15</v>
      </c>
      <c r="E47" s="26">
        <f>SUM(E44:E46)</f>
        <v>318.15</v>
      </c>
      <c r="F47" s="26">
        <f>SUM(F44:F46)</f>
        <v>318.15</v>
      </c>
      <c r="G47" s="26">
        <f>SUM(G44:G46)</f>
        <v>2121</v>
      </c>
    </row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</sheetData>
  <mergeCells count="1">
    <mergeCell ref="A14:C1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"/>
  <sheetViews>
    <sheetView workbookViewId="0" zoomScale="100" zoomScaleNormal="100">
      <selection activeCell="A18" sqref="A18"/>
    </sheetView>
  </sheetViews>
  <sheetFormatPr defaultRowHeight="15" outlineLevelRow="0" outlineLevelCol="0" x14ac:dyDescent="0.25"/>
  <cols>
    <col min="1" max="1" width="34" customWidth="1"/>
    <col min="2" max="5" width="16" customWidth="1"/>
    <col min="6" max="6" width="17.5703125" customWidth="1"/>
    <col min="7" max="10" width="16" customWidth="1"/>
    <col min="11" max="11" width="17.5703125" customWidth="1"/>
    <col min="12" max="16" width="16" customWidth="1"/>
    <col min="17" max="17" width="17.5703125" customWidth="1"/>
    <col min="18" max="18" width="21.140625" customWidth="1"/>
  </cols>
  <sheetData>
    <row r="1" spans="1:32" x14ac:dyDescent="0.25">
      <c r="A1" s="27" t="s">
        <v>26</v>
      </c>
      <c r="B1" s="28">
        <v>5</v>
      </c>
      <c r="C1" s="28">
        <v>5</v>
      </c>
      <c r="D1" s="28">
        <v>5</v>
      </c>
      <c r="E1" s="28">
        <v>4</v>
      </c>
      <c r="G1" s="28">
        <v>5</v>
      </c>
      <c r="H1" s="28">
        <v>4</v>
      </c>
      <c r="I1" s="28">
        <v>5</v>
      </c>
      <c r="J1" s="28">
        <v>5</v>
      </c>
      <c r="L1" s="28">
        <v>5</v>
      </c>
      <c r="M1" s="28">
        <v>4</v>
      </c>
      <c r="N1" s="28">
        <v>5</v>
      </c>
      <c r="O1" s="28">
        <v>5</v>
      </c>
      <c r="P1" s="28">
        <v>2</v>
      </c>
    </row>
    <row r="2" spans="1:32" s="29" customFormat="1" x14ac:dyDescent="0.25">
      <c r="A2" s="30" t="s">
        <v>27</v>
      </c>
      <c r="B2" s="7">
        <v>14</v>
      </c>
      <c r="C2" s="7">
        <v>15</v>
      </c>
      <c r="D2" s="7">
        <v>16</v>
      </c>
      <c r="E2" s="7">
        <v>17</v>
      </c>
      <c r="F2" s="7" t="s">
        <v>28</v>
      </c>
      <c r="G2" s="7">
        <v>18</v>
      </c>
      <c r="H2" s="7">
        <v>19</v>
      </c>
      <c r="I2" s="7">
        <v>20</v>
      </c>
      <c r="J2" s="7">
        <v>21</v>
      </c>
      <c r="K2" s="7" t="s">
        <v>29</v>
      </c>
      <c r="L2" s="7">
        <v>22</v>
      </c>
      <c r="M2" s="7">
        <v>23</v>
      </c>
      <c r="N2" s="7">
        <v>24</v>
      </c>
      <c r="O2" s="7">
        <v>25</v>
      </c>
      <c r="P2" s="7">
        <v>26</v>
      </c>
      <c r="Q2" s="7" t="s">
        <v>30</v>
      </c>
      <c r="R2" s="7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s="3" customFormat="1" x14ac:dyDescent="0.25">
      <c r="A3" s="30" t="s">
        <v>31</v>
      </c>
      <c r="B3" s="31" t="s">
        <v>32</v>
      </c>
      <c r="C3" s="31" t="s">
        <v>33</v>
      </c>
      <c r="D3" s="31" t="s">
        <v>34</v>
      </c>
      <c r="E3" s="31" t="s">
        <v>35</v>
      </c>
      <c r="G3" s="31" t="s">
        <v>36</v>
      </c>
      <c r="H3" s="31" t="s">
        <v>37</v>
      </c>
      <c r="I3" s="31" t="s">
        <v>38</v>
      </c>
      <c r="J3" s="31" t="s">
        <v>39</v>
      </c>
      <c r="L3" s="31" t="s">
        <v>40</v>
      </c>
      <c r="M3" s="31" t="s">
        <v>41</v>
      </c>
      <c r="N3" s="31" t="s">
        <v>42</v>
      </c>
      <c r="O3" s="31" t="s">
        <v>43</v>
      </c>
      <c r="P3" s="31" t="s">
        <v>44</v>
      </c>
      <c r="R3" s="3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5">
      <c r="A4" s="30" t="s">
        <v>45</v>
      </c>
      <c r="B4" s="33">
        <v>15</v>
      </c>
      <c r="C4" s="33">
        <v>15</v>
      </c>
      <c r="D4" s="33">
        <v>15</v>
      </c>
      <c r="E4" s="33">
        <v>12</v>
      </c>
      <c r="F4" s="30">
        <f>SUM(B4:E4)</f>
        <v>57</v>
      </c>
      <c r="G4" s="33">
        <v>15</v>
      </c>
      <c r="H4" s="33">
        <v>12</v>
      </c>
      <c r="I4" s="33">
        <v>15</v>
      </c>
      <c r="J4" s="33">
        <v>15</v>
      </c>
      <c r="K4" s="30">
        <f>SUM(G4:J4)</f>
        <v>57</v>
      </c>
      <c r="L4" s="33">
        <v>15</v>
      </c>
      <c r="M4" s="33">
        <v>12</v>
      </c>
      <c r="N4" s="33">
        <v>15</v>
      </c>
      <c r="O4" s="33">
        <v>15</v>
      </c>
      <c r="P4" s="33">
        <v>6</v>
      </c>
      <c r="Q4" s="30">
        <f>SUM(L4:P4)</f>
        <v>63</v>
      </c>
      <c r="R4" s="30"/>
    </row>
    <row r="5" spans="1:32" x14ac:dyDescent="0.25">
      <c r="A5" s="30" t="s">
        <v>46</v>
      </c>
      <c r="B5" s="33">
        <v>15</v>
      </c>
      <c r="C5" s="33">
        <v>15</v>
      </c>
      <c r="D5" s="33">
        <v>15</v>
      </c>
      <c r="E5" s="33">
        <v>12</v>
      </c>
      <c r="F5" s="30">
        <f>SUM(B5:E5)</f>
        <v>57</v>
      </c>
      <c r="G5" s="33">
        <v>15</v>
      </c>
      <c r="H5" s="33">
        <v>12</v>
      </c>
      <c r="I5" s="33">
        <v>15</v>
      </c>
      <c r="J5" s="33">
        <v>15</v>
      </c>
      <c r="K5" s="30">
        <f>SUM(G5:J5)</f>
        <v>57</v>
      </c>
      <c r="L5" s="33">
        <v>0</v>
      </c>
      <c r="M5" s="33">
        <v>12</v>
      </c>
      <c r="N5" s="33">
        <v>15</v>
      </c>
      <c r="O5" s="33">
        <v>15</v>
      </c>
      <c r="P5" s="33">
        <v>6</v>
      </c>
      <c r="Q5" s="30">
        <f>SUM(L5:P5)</f>
        <v>48</v>
      </c>
      <c r="R5" s="30"/>
    </row>
    <row r="6" spans="1:32" x14ac:dyDescent="0.25">
      <c r="A6" s="30" t="s">
        <v>47</v>
      </c>
      <c r="B6" s="33">
        <v>15</v>
      </c>
      <c r="C6" s="33">
        <v>0</v>
      </c>
      <c r="D6" s="33">
        <v>15</v>
      </c>
      <c r="E6" s="33">
        <v>12</v>
      </c>
      <c r="F6" s="30">
        <f>SUM(B6:E6)</f>
        <v>42</v>
      </c>
      <c r="G6" s="33">
        <v>15</v>
      </c>
      <c r="H6" s="33">
        <v>12</v>
      </c>
      <c r="I6" s="33">
        <v>15</v>
      </c>
      <c r="J6" s="33">
        <v>15</v>
      </c>
      <c r="K6" s="30">
        <f>SUM(G6:J6)</f>
        <v>57</v>
      </c>
      <c r="L6" s="33">
        <v>15</v>
      </c>
      <c r="M6" s="33">
        <v>12</v>
      </c>
      <c r="N6" s="33">
        <v>15</v>
      </c>
      <c r="O6" s="33">
        <v>15</v>
      </c>
      <c r="P6" s="33">
        <v>6</v>
      </c>
      <c r="Q6" s="30">
        <f>SUM(L6:P6)</f>
        <v>63</v>
      </c>
      <c r="R6" s="30"/>
    </row>
    <row r="7" spans="1:32" s="3" customFormat="1" x14ac:dyDescent="0.25">
      <c r="A7" s="31" t="s">
        <v>48</v>
      </c>
      <c r="B7" s="31">
        <f>SUM(B4:B6)</f>
        <v>45</v>
      </c>
      <c r="C7" s="31">
        <f>SUM(C4:C6)</f>
        <v>30</v>
      </c>
      <c r="D7" s="31">
        <f>SUM(D4:D6)</f>
        <v>45</v>
      </c>
      <c r="E7" s="31">
        <f>SUM(E4:E6)</f>
        <v>36</v>
      </c>
      <c r="F7" s="31">
        <f>SUM(B7:E7)</f>
        <v>156</v>
      </c>
      <c r="G7" s="31">
        <f>SUM(G4:G6)</f>
        <v>45</v>
      </c>
      <c r="H7" s="31">
        <f>SUM(H4:H6)</f>
        <v>36</v>
      </c>
      <c r="I7" s="31">
        <f>SUM(I4:I6)</f>
        <v>45</v>
      </c>
      <c r="J7" s="31">
        <f>SUM(J4:J6)</f>
        <v>45</v>
      </c>
      <c r="K7" s="31">
        <f>SUM(G7:J7)</f>
        <v>171</v>
      </c>
      <c r="L7" s="31">
        <f>SUM(L4:L6)</f>
        <v>30</v>
      </c>
      <c r="M7" s="31">
        <f>SUM(M4:M6)</f>
        <v>36</v>
      </c>
      <c r="N7" s="31">
        <f>SUM(N4:N6)</f>
        <v>45</v>
      </c>
      <c r="O7" s="31">
        <f>SUM(O4:O6)</f>
        <v>45</v>
      </c>
      <c r="P7" s="31">
        <f>SUM(P4:P6)</f>
        <v>18</v>
      </c>
      <c r="Q7" s="31">
        <f>SUM(L7:P7)</f>
        <v>174</v>
      </c>
      <c r="R7" s="3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s="3" customForma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s="3" customFormat="1" x14ac:dyDescent="0.25">
      <c r="A9" s="30" t="s">
        <v>49</v>
      </c>
      <c r="B9" s="33">
        <v>25</v>
      </c>
      <c r="C9" s="33">
        <v>25</v>
      </c>
      <c r="D9" s="33">
        <v>25</v>
      </c>
      <c r="E9" s="33">
        <v>20</v>
      </c>
      <c r="F9" s="30">
        <f>SUM(B9:E9)</f>
        <v>95</v>
      </c>
      <c r="G9" s="33">
        <v>25</v>
      </c>
      <c r="H9" s="33">
        <v>20</v>
      </c>
      <c r="I9" s="33">
        <v>25</v>
      </c>
      <c r="J9" s="33">
        <v>25</v>
      </c>
      <c r="K9" s="30">
        <f>SUM(G9:J9)</f>
        <v>95</v>
      </c>
      <c r="L9" s="33">
        <v>25</v>
      </c>
      <c r="M9" s="33">
        <v>20</v>
      </c>
      <c r="N9" s="33">
        <v>25</v>
      </c>
      <c r="O9" s="33">
        <v>25</v>
      </c>
      <c r="P9" s="33">
        <v>10</v>
      </c>
      <c r="Q9" s="30">
        <f>SUM(L9:P9)</f>
        <v>105</v>
      </c>
      <c r="R9" s="3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30" t="s">
        <v>50</v>
      </c>
      <c r="B10" s="33">
        <v>25</v>
      </c>
      <c r="C10" s="33">
        <v>25</v>
      </c>
      <c r="D10" s="33">
        <v>0</v>
      </c>
      <c r="E10" s="33">
        <v>20</v>
      </c>
      <c r="F10" s="30">
        <f>SUM(B10:E10)</f>
        <v>70</v>
      </c>
      <c r="G10" s="33">
        <v>25</v>
      </c>
      <c r="H10" s="33">
        <v>20</v>
      </c>
      <c r="I10" s="33">
        <v>25</v>
      </c>
      <c r="J10" s="33">
        <v>25</v>
      </c>
      <c r="K10" s="30">
        <f>SUM(G10:J10)</f>
        <v>95</v>
      </c>
      <c r="L10" s="33">
        <v>25</v>
      </c>
      <c r="M10" s="33">
        <v>20</v>
      </c>
      <c r="N10" s="33">
        <v>25</v>
      </c>
      <c r="O10" s="33">
        <v>25</v>
      </c>
      <c r="P10" s="33">
        <v>10</v>
      </c>
      <c r="Q10" s="30">
        <f>SUM(L10:P10)</f>
        <v>105</v>
      </c>
      <c r="R10" s="30"/>
    </row>
    <row r="11" spans="1:32" x14ac:dyDescent="0.25">
      <c r="A11" s="30" t="s">
        <v>51</v>
      </c>
      <c r="B11" s="33">
        <v>0</v>
      </c>
      <c r="C11" s="33">
        <v>0</v>
      </c>
      <c r="D11" s="33">
        <v>25</v>
      </c>
      <c r="E11" s="33">
        <v>20</v>
      </c>
      <c r="F11" s="30">
        <f>SUM(B11:E11)</f>
        <v>45</v>
      </c>
      <c r="G11" s="33">
        <v>25</v>
      </c>
      <c r="H11" s="33">
        <v>20</v>
      </c>
      <c r="I11" s="33">
        <v>25</v>
      </c>
      <c r="J11" s="33">
        <v>25</v>
      </c>
      <c r="K11" s="30">
        <f>SUM(G11:J11)</f>
        <v>95</v>
      </c>
      <c r="L11" s="33">
        <v>25</v>
      </c>
      <c r="M11" s="33">
        <v>20</v>
      </c>
      <c r="N11" s="33">
        <v>0</v>
      </c>
      <c r="O11" s="33">
        <v>25</v>
      </c>
      <c r="P11" s="33">
        <v>10</v>
      </c>
      <c r="Q11" s="30">
        <f>SUM(L11:P11)</f>
        <v>80</v>
      </c>
      <c r="R11" s="30"/>
    </row>
    <row r="12" spans="1:32" s="3" customFormat="1" x14ac:dyDescent="0.25">
      <c r="A12" s="31" t="s">
        <v>52</v>
      </c>
      <c r="B12" s="31">
        <f>SUM(B9:B11)</f>
        <v>50</v>
      </c>
      <c r="C12" s="31">
        <f>SUM(C9:C11)</f>
        <v>50</v>
      </c>
      <c r="D12" s="31">
        <f>SUM(D9:D11)</f>
        <v>50</v>
      </c>
      <c r="E12" s="31">
        <f>SUM(E9:E11)</f>
        <v>60</v>
      </c>
      <c r="F12" s="31">
        <f>SUM(B12:E12)</f>
        <v>210</v>
      </c>
      <c r="G12" s="31">
        <f>SUM(G9:G11)</f>
        <v>75</v>
      </c>
      <c r="H12" s="31">
        <f>SUM(H9:H11)</f>
        <v>60</v>
      </c>
      <c r="I12" s="31">
        <f>SUM(I9:I11)</f>
        <v>75</v>
      </c>
      <c r="J12" s="31">
        <f>SUM(J9:J11)</f>
        <v>75</v>
      </c>
      <c r="K12" s="31">
        <f>SUM(G12:J12)</f>
        <v>285</v>
      </c>
      <c r="L12" s="31">
        <f>SUM(L9:L11)</f>
        <v>75</v>
      </c>
      <c r="M12" s="31">
        <f>SUM(M9:M11)</f>
        <v>60</v>
      </c>
      <c r="N12" s="31">
        <f>SUM(N9:N11)</f>
        <v>50</v>
      </c>
      <c r="O12" s="31">
        <f>SUM(O9:O11)</f>
        <v>75</v>
      </c>
      <c r="P12" s="31">
        <f>SUM(P9:P11)</f>
        <v>30</v>
      </c>
      <c r="Q12" s="31">
        <f>SUM(L12:P12)</f>
        <v>290</v>
      </c>
      <c r="R12" s="3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s="3" customFormat="1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s="3" customFormat="1" x14ac:dyDescent="0.25">
      <c r="A14" s="30" t="s">
        <v>53</v>
      </c>
      <c r="B14" s="33">
        <v>25</v>
      </c>
      <c r="C14" s="33">
        <v>25</v>
      </c>
      <c r="D14" s="33">
        <v>25</v>
      </c>
      <c r="E14" s="33">
        <v>20</v>
      </c>
      <c r="F14" s="30">
        <f>SUM(B14:E14)</f>
        <v>95</v>
      </c>
      <c r="G14" s="33">
        <v>25</v>
      </c>
      <c r="H14" s="33">
        <v>20</v>
      </c>
      <c r="I14" s="33">
        <v>25</v>
      </c>
      <c r="J14" s="33">
        <v>25</v>
      </c>
      <c r="K14" s="30">
        <f>SUM(G14:J14)</f>
        <v>95</v>
      </c>
      <c r="L14" s="33">
        <v>25</v>
      </c>
      <c r="M14" s="33">
        <v>20</v>
      </c>
      <c r="N14" s="33">
        <v>25</v>
      </c>
      <c r="O14" s="33">
        <v>25</v>
      </c>
      <c r="P14" s="33">
        <v>10</v>
      </c>
      <c r="Q14" s="30">
        <f>SUM(L14:P14)</f>
        <v>105</v>
      </c>
      <c r="R14" s="30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s="3" customFormat="1" x14ac:dyDescent="0.25">
      <c r="A15" s="30" t="s">
        <v>54</v>
      </c>
      <c r="B15" s="33">
        <v>25</v>
      </c>
      <c r="C15" s="33">
        <v>0</v>
      </c>
      <c r="D15" s="33">
        <v>25</v>
      </c>
      <c r="E15" s="33">
        <v>20</v>
      </c>
      <c r="F15" s="30">
        <f>SUM(B15:E15)</f>
        <v>70</v>
      </c>
      <c r="G15" s="33">
        <v>0</v>
      </c>
      <c r="H15" s="33">
        <v>20</v>
      </c>
      <c r="I15" s="33">
        <v>25</v>
      </c>
      <c r="J15" s="33">
        <v>25</v>
      </c>
      <c r="K15" s="30">
        <f>SUM(G15:J15)</f>
        <v>70</v>
      </c>
      <c r="L15" s="33">
        <v>25</v>
      </c>
      <c r="M15" s="33">
        <v>20</v>
      </c>
      <c r="N15" s="33">
        <v>25</v>
      </c>
      <c r="O15" s="33">
        <v>25</v>
      </c>
      <c r="P15" s="33">
        <v>10</v>
      </c>
      <c r="Q15" s="30">
        <f>SUM(L15:P15)</f>
        <v>105</v>
      </c>
      <c r="R15" s="30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A16" s="30" t="s">
        <v>55</v>
      </c>
      <c r="B16" s="33">
        <v>25</v>
      </c>
      <c r="C16" s="33">
        <v>25</v>
      </c>
      <c r="D16" s="33">
        <v>25</v>
      </c>
      <c r="E16" s="33">
        <v>20</v>
      </c>
      <c r="F16" s="30">
        <f>SUM(B16:E16)</f>
        <v>95</v>
      </c>
      <c r="G16" s="33">
        <v>25</v>
      </c>
      <c r="H16" s="33">
        <v>20</v>
      </c>
      <c r="I16" s="33">
        <v>25</v>
      </c>
      <c r="J16" s="33">
        <v>25</v>
      </c>
      <c r="K16" s="30">
        <f>SUM(G16:J16)</f>
        <v>95</v>
      </c>
      <c r="L16" s="33">
        <v>25</v>
      </c>
      <c r="M16" s="33">
        <v>20</v>
      </c>
      <c r="N16" s="33">
        <v>25</v>
      </c>
      <c r="O16" s="33">
        <v>25</v>
      </c>
      <c r="P16" s="33">
        <v>10</v>
      </c>
      <c r="Q16" s="30">
        <f>SUM(L16:P16)</f>
        <v>105</v>
      </c>
      <c r="R16" s="30"/>
    </row>
    <row r="17" spans="1:32" s="3" customFormat="1" x14ac:dyDescent="0.25">
      <c r="A17" s="31" t="s">
        <v>56</v>
      </c>
      <c r="B17" s="31">
        <f>SUM(B14:B16)</f>
        <v>75</v>
      </c>
      <c r="C17" s="31">
        <f>SUM(C14:C16)</f>
        <v>50</v>
      </c>
      <c r="D17" s="31">
        <f>SUM(D14:D16)</f>
        <v>75</v>
      </c>
      <c r="E17" s="31">
        <f>SUM(E14:E16)</f>
        <v>60</v>
      </c>
      <c r="F17" s="31">
        <f>SUM(B17:E17)</f>
        <v>260</v>
      </c>
      <c r="G17" s="31">
        <f>SUM(G14:G16)</f>
        <v>50</v>
      </c>
      <c r="H17" s="31">
        <f>SUM(H14:H16)</f>
        <v>60</v>
      </c>
      <c r="I17" s="31">
        <f>SUM(I14:I16)</f>
        <v>75</v>
      </c>
      <c r="J17" s="31">
        <f>SUM(J14:J16)</f>
        <v>75</v>
      </c>
      <c r="K17" s="31">
        <f>SUM(G17:J17)</f>
        <v>260</v>
      </c>
      <c r="L17" s="31">
        <f>SUM(L14:L16)</f>
        <v>75</v>
      </c>
      <c r="M17" s="31">
        <f>SUM(M14:M16)</f>
        <v>60</v>
      </c>
      <c r="N17" s="31">
        <f>SUM(N14:N16)</f>
        <v>75</v>
      </c>
      <c r="O17" s="31">
        <f>SUM(O14:O16)</f>
        <v>75</v>
      </c>
      <c r="P17" s="31">
        <f>SUM(P14:P16)</f>
        <v>30</v>
      </c>
      <c r="Q17" s="31">
        <f>SUM(L17:P17)</f>
        <v>315</v>
      </c>
      <c r="R17" s="31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5"/>
    <row r="19" spans="1:32" x14ac:dyDescent="0.25"/>
    <row r="20" spans="1:32" x14ac:dyDescent="0.25"/>
    <row r="21" spans="1:32" x14ac:dyDescent="0.25"/>
    <row r="22" spans="1:32" x14ac:dyDescent="0.25"/>
    <row r="23" spans="1:32" x14ac:dyDescent="0.25"/>
    <row r="24" spans="1:32" x14ac:dyDescent="0.25">
      <c r="B24" s="34"/>
    </row>
    <row r="25" spans="1:32" x14ac:dyDescent="0.25"/>
    <row r="26" spans="1:32" x14ac:dyDescent="0.25"/>
    <row r="27" spans="1:32" x14ac:dyDescent="0.25"/>
    <row r="28" spans="1:32" x14ac:dyDescent="0.25"/>
    <row r="29" spans="1:32" x14ac:dyDescent="0.25"/>
    <row r="30" spans="1:32" x14ac:dyDescent="0.25"/>
    <row r="31" spans="1:32" x14ac:dyDescent="0.25"/>
    <row r="32" spans="1:32" x14ac:dyDescent="0.25"/>
    <row r="33" spans="1:32" x14ac:dyDescent="0.25"/>
    <row r="34" spans="1:32" x14ac:dyDescent="0.25"/>
    <row r="35" spans="1:32" x14ac:dyDescent="0.25"/>
    <row r="36" spans="1:32" x14ac:dyDescent="0.25"/>
    <row r="37" spans="1:32" x14ac:dyDescent="0.25"/>
    <row r="38" spans="1:32" x14ac:dyDescent="0.25"/>
    <row r="39" spans="1:32" x14ac:dyDescent="0.25"/>
    <row r="40" spans="1:32" x14ac:dyDescent="0.25"/>
    <row r="41" spans="1:32" x14ac:dyDescent="0.25"/>
    <row r="42" spans="1:32" x14ac:dyDescent="0.25"/>
    <row r="43" spans="1:32" x14ac:dyDescent="0.25"/>
    <row r="44" spans="1:32" x14ac:dyDescent="0.25"/>
    <row r="45" spans="1:32" x14ac:dyDescent="0.25"/>
    <row r="46" spans="1:32" x14ac:dyDescent="0.25"/>
    <row r="47" spans="1:32" x14ac:dyDescent="0.25"/>
    <row r="48" spans="1:32" x14ac:dyDescent="0.25"/>
    <row r="49" spans="1:32" x14ac:dyDescent="0.25"/>
    <row r="50" spans="1:32" x14ac:dyDescent="0.25"/>
    <row r="51" spans="1:32" x14ac:dyDescent="0.25"/>
    <row r="52" spans="1:32" x14ac:dyDescent="0.25"/>
    <row r="53" spans="1:32" x14ac:dyDescent="0.25"/>
    <row r="54" spans="1:32" x14ac:dyDescent="0.25"/>
    <row r="55" spans="1:32" x14ac:dyDescent="0.25"/>
    <row r="56" spans="1:32" x14ac:dyDescent="0.25"/>
    <row r="57" spans="1:32" x14ac:dyDescent="0.25"/>
    <row r="58" spans="1:32" x14ac:dyDescent="0.25"/>
    <row r="59" spans="1:32" x14ac:dyDescent="0.25"/>
    <row r="60" spans="1:32" x14ac:dyDescent="0.25"/>
    <row r="61" spans="1:32" x14ac:dyDescent="0.25"/>
    <row r="62" spans="1:32" x14ac:dyDescent="0.25"/>
    <row r="63" spans="1:32" x14ac:dyDescent="0.25"/>
    <row r="64" spans="1:32" x14ac:dyDescent="0.25"/>
    <row r="65" spans="1:32" x14ac:dyDescent="0.25"/>
    <row r="66" spans="1:32" x14ac:dyDescent="0.25"/>
    <row r="67" spans="1:32" x14ac:dyDescent="0.25"/>
    <row r="68" spans="1:32" x14ac:dyDescent="0.25"/>
    <row r="69" spans="1:32" x14ac:dyDescent="0.25"/>
    <row r="70" spans="1:32" x14ac:dyDescent="0.25"/>
    <row r="71" spans="1:32" x14ac:dyDescent="0.25"/>
    <row r="72" spans="1:32" x14ac:dyDescent="0.25"/>
    <row r="73" spans="1:32" x14ac:dyDescent="0.25"/>
    <row r="74" spans="1:32" x14ac:dyDescent="0.25"/>
    <row r="75" spans="1:32" x14ac:dyDescent="0.25"/>
    <row r="76" spans="1:32" x14ac:dyDescent="0.25"/>
    <row r="77" spans="1:32" x14ac:dyDescent="0.25"/>
    <row r="78" spans="1:32" x14ac:dyDescent="0.25"/>
    <row r="79" spans="1:32" x14ac:dyDescent="0.25"/>
    <row r="80" spans="1:32" x14ac:dyDescent="0.25"/>
    <row r="81" spans="1:32" x14ac:dyDescent="0.25"/>
    <row r="82" spans="1:32" x14ac:dyDescent="0.25"/>
    <row r="83" spans="1:32" x14ac:dyDescent="0.25"/>
    <row r="84" spans="1:32" x14ac:dyDescent="0.25"/>
    <row r="85" spans="1:32" x14ac:dyDescent="0.25"/>
    <row r="86" spans="1:32" x14ac:dyDescent="0.25"/>
    <row r="87" spans="1:32" x14ac:dyDescent="0.25"/>
    <row r="88" spans="1:32" x14ac:dyDescent="0.25"/>
    <row r="89" spans="1:32" x14ac:dyDescent="0.25"/>
    <row r="90" spans="1:32" x14ac:dyDescent="0.25"/>
    <row r="91" spans="1:32" x14ac:dyDescent="0.25"/>
    <row r="92" spans="1:32" x14ac:dyDescent="0.25"/>
    <row r="93" spans="1:32" x14ac:dyDescent="0.25"/>
    <row r="94" spans="1:32" x14ac:dyDescent="0.25"/>
    <row r="95" spans="1:32" x14ac:dyDescent="0.25"/>
    <row r="96" spans="1:32" x14ac:dyDescent="0.25"/>
    <row r="97" spans="1:32" x14ac:dyDescent="0.25"/>
    <row r="98" spans="1:32" x14ac:dyDescent="0.25"/>
    <row r="99" spans="1:32" x14ac:dyDescent="0.25"/>
    <row r="100" spans="1:32" x14ac:dyDescent="0.25"/>
    <row r="101" spans="1:32" x14ac:dyDescent="0.25"/>
    <row r="102" spans="1:32" x14ac:dyDescent="0.25"/>
    <row r="103" spans="1:32" x14ac:dyDescent="0.25"/>
    <row r="104" spans="1:32" x14ac:dyDescent="0.25"/>
    <row r="105" spans="1:32" x14ac:dyDescent="0.25"/>
    <row r="106" spans="1:32" x14ac:dyDescent="0.25"/>
    <row r="107" spans="1:32" x14ac:dyDescent="0.25"/>
    <row r="108" spans="1:32" x14ac:dyDescent="0.25"/>
    <row r="109" spans="1:32" x14ac:dyDescent="0.25"/>
    <row r="110" spans="1:32" x14ac:dyDescent="0.25"/>
    <row r="111" spans="1:32" x14ac:dyDescent="0.25"/>
    <row r="112" spans="1:32" x14ac:dyDescent="0.25"/>
    <row r="113" spans="1:32" x14ac:dyDescent="0.25"/>
    <row r="114" spans="1:32" x14ac:dyDescent="0.25"/>
    <row r="115" spans="1:32" x14ac:dyDescent="0.25"/>
    <row r="116" spans="1:32" x14ac:dyDescent="0.25"/>
    <row r="117" spans="1:32" x14ac:dyDescent="0.25"/>
    <row r="118" spans="1:32" x14ac:dyDescent="0.25"/>
    <row r="119" spans="1:32" x14ac:dyDescent="0.25"/>
    <row r="120" spans="1:32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>
      <selection activeCell="F5" sqref="F5"/>
    </sheetView>
  </sheetViews>
  <sheetFormatPr defaultRowHeight="15" outlineLevelRow="0" outlineLevelCol="0" x14ac:dyDescent="0.25"/>
  <cols>
    <col min="1" max="1" width="21.42578125" customWidth="1"/>
    <col min="2" max="3" width="25.5703125" customWidth="1"/>
    <col min="4" max="4" width="16.140625" customWidth="1"/>
    <col min="5" max="5" width="16.140625" style="35" customWidth="1"/>
    <col min="6" max="6" width="16.42578125" style="21" customWidth="1"/>
    <col min="7" max="7" width="16.140625" style="35" customWidth="1"/>
    <col min="8" max="8" width="39" style="21" customWidth="1"/>
    <col min="9" max="9" width="82" customWidth="1"/>
  </cols>
  <sheetData>
    <row r="1" spans="5:7" s="21" customFormat="1" x14ac:dyDescent="0.25">
      <c r="E1" s="35"/>
      <c r="G1" s="35"/>
    </row>
    <row r="2" spans="5:7" s="21" customFormat="1" x14ac:dyDescent="0.25">
      <c r="E2" s="35"/>
      <c r="G2" s="35"/>
    </row>
    <row r="3" spans="1:9" s="21" customFormat="1" x14ac:dyDescent="0.25">
      <c r="A3" s="3" t="s">
        <v>3</v>
      </c>
      <c r="E3" s="35"/>
      <c r="G3" s="35"/>
      <c r="I3" s="3"/>
    </row>
    <row r="4" ht="30" customHeight="1" spans="1:8" s="34" customFormat="1" x14ac:dyDescent="0.25">
      <c r="A4" s="8" t="s">
        <v>5</v>
      </c>
      <c r="B4" s="8" t="s">
        <v>57</v>
      </c>
      <c r="C4" s="8" t="s">
        <v>58</v>
      </c>
      <c r="D4" s="36" t="s">
        <v>59</v>
      </c>
      <c r="E4" s="37" t="s">
        <v>60</v>
      </c>
      <c r="F4" s="36" t="s">
        <v>61</v>
      </c>
      <c r="G4" s="37" t="s">
        <v>62</v>
      </c>
      <c r="H4" s="36" t="s">
        <v>61</v>
      </c>
    </row>
    <row r="5" ht="105" customHeight="1" spans="1:8" x14ac:dyDescent="0.25">
      <c r="A5" s="11" t="s">
        <v>9</v>
      </c>
      <c r="B5" s="38">
        <v>35</v>
      </c>
      <c r="C5" s="39" t="s">
        <v>63</v>
      </c>
      <c r="D5" s="40" t="s">
        <v>64</v>
      </c>
      <c r="E5" s="41">
        <v>10</v>
      </c>
      <c r="F5" s="40" t="s">
        <v>65</v>
      </c>
      <c r="G5" s="41">
        <v>10</v>
      </c>
      <c r="H5" s="40" t="s">
        <v>66</v>
      </c>
    </row>
    <row r="6" ht="8.25" customHeight="1" spans="1:8" s="21" customFormat="1" x14ac:dyDescent="0.25">
      <c r="A6" s="42"/>
      <c r="B6" s="42"/>
      <c r="C6" s="42"/>
      <c r="D6" s="42"/>
      <c r="E6" s="42"/>
      <c r="F6" s="42"/>
      <c r="G6" s="42"/>
      <c r="H6" s="42"/>
    </row>
    <row r="7" ht="30" customHeight="1" spans="1:8" s="34" customFormat="1" x14ac:dyDescent="0.25">
      <c r="A7" s="8" t="s">
        <v>5</v>
      </c>
      <c r="B7" s="8" t="s">
        <v>57</v>
      </c>
      <c r="C7" s="8" t="s">
        <v>67</v>
      </c>
      <c r="D7" s="36" t="s">
        <v>59</v>
      </c>
      <c r="E7" s="37" t="s">
        <v>68</v>
      </c>
      <c r="F7" s="36" t="s">
        <v>61</v>
      </c>
      <c r="G7" s="37" t="s">
        <v>62</v>
      </c>
      <c r="H7" s="36" t="s">
        <v>61</v>
      </c>
    </row>
    <row r="8" ht="105" customHeight="1" spans="1:8" x14ac:dyDescent="0.25">
      <c r="A8" s="11" t="s">
        <v>11</v>
      </c>
      <c r="B8" s="38">
        <v>35</v>
      </c>
      <c r="C8" s="39" t="s">
        <v>69</v>
      </c>
      <c r="D8" s="40" t="s">
        <v>70</v>
      </c>
      <c r="E8" s="41">
        <v>5</v>
      </c>
      <c r="F8" s="40" t="s">
        <v>71</v>
      </c>
      <c r="G8" s="41">
        <v>5</v>
      </c>
      <c r="H8" s="40" t="s">
        <v>72</v>
      </c>
    </row>
    <row r="9" ht="8.25" customHeight="1" spans="1:8" x14ac:dyDescent="0.25">
      <c r="A9" s="42"/>
      <c r="B9" s="42"/>
      <c r="C9" s="42"/>
      <c r="D9" s="42"/>
      <c r="E9" s="42"/>
      <c r="F9" s="42"/>
      <c r="G9" s="42"/>
      <c r="H9" s="42"/>
    </row>
    <row r="10" ht="30" customHeight="1" spans="1:8" s="34" customFormat="1" x14ac:dyDescent="0.25">
      <c r="A10" s="8" t="s">
        <v>5</v>
      </c>
      <c r="B10" s="8" t="s">
        <v>57</v>
      </c>
      <c r="C10" s="8" t="s">
        <v>73</v>
      </c>
      <c r="D10" s="36" t="s">
        <v>59</v>
      </c>
      <c r="E10" s="37" t="s">
        <v>74</v>
      </c>
      <c r="F10" s="36" t="s">
        <v>59</v>
      </c>
      <c r="G10" s="37" t="s">
        <v>62</v>
      </c>
      <c r="H10" s="36" t="s">
        <v>61</v>
      </c>
    </row>
    <row r="11" ht="105" customHeight="1" spans="1:8" x14ac:dyDescent="0.25">
      <c r="A11" s="11" t="s">
        <v>13</v>
      </c>
      <c r="B11" s="38">
        <v>35</v>
      </c>
      <c r="C11" s="39">
        <v>25</v>
      </c>
      <c r="D11" s="40" t="s">
        <v>75</v>
      </c>
      <c r="E11" s="41">
        <v>5</v>
      </c>
      <c r="F11" s="40" t="s">
        <v>76</v>
      </c>
      <c r="G11" s="41">
        <v>5</v>
      </c>
      <c r="H11" s="40" t="s">
        <v>77</v>
      </c>
    </row>
    <row r="12" ht="8.25" customHeight="1" spans="1:8" x14ac:dyDescent="0.25">
      <c r="A12" s="42"/>
      <c r="B12" s="42"/>
      <c r="C12" s="42"/>
      <c r="D12" s="42"/>
      <c r="E12" s="42"/>
      <c r="F12" s="42"/>
      <c r="G12" s="42"/>
      <c r="H12" s="42"/>
    </row>
    <row r="13" ht="30" customHeight="1" spans="1:8" x14ac:dyDescent="0.25">
      <c r="A13" s="8"/>
      <c r="B13" s="8"/>
      <c r="C13" s="8" t="s">
        <v>15</v>
      </c>
      <c r="D13" s="36"/>
      <c r="E13" s="37" t="s">
        <v>78</v>
      </c>
      <c r="F13" s="36"/>
      <c r="G13" s="37" t="s">
        <v>78</v>
      </c>
      <c r="H13" s="36"/>
    </row>
    <row r="14" ht="105" customHeight="1" spans="1:8" x14ac:dyDescent="0.25">
      <c r="A14" s="11" t="s">
        <v>15</v>
      </c>
      <c r="B14" s="38">
        <v>15</v>
      </c>
      <c r="C14" s="39" t="s">
        <v>63</v>
      </c>
      <c r="D14" s="40" t="s">
        <v>70</v>
      </c>
      <c r="E14" s="41">
        <v>0</v>
      </c>
      <c r="F14" s="40" t="s">
        <v>78</v>
      </c>
      <c r="G14" s="41">
        <v>0</v>
      </c>
      <c r="H14" s="40" t="s">
        <v>78</v>
      </c>
    </row>
    <row r="15" ht="8.25" customHeight="1" spans="1:8" x14ac:dyDescent="0.25">
      <c r="A15" s="42"/>
      <c r="B15" s="42"/>
      <c r="C15" s="42"/>
      <c r="D15" s="42"/>
      <c r="E15" s="42"/>
      <c r="F15" s="42"/>
      <c r="G15" s="42"/>
      <c r="H15" s="42"/>
    </row>
    <row r="16" ht="30" customHeight="1" spans="1:8" x14ac:dyDescent="0.25">
      <c r="A16" s="8"/>
      <c r="B16" s="8"/>
      <c r="C16" s="8" t="s">
        <v>58</v>
      </c>
      <c r="D16" s="36"/>
      <c r="E16" s="37" t="s">
        <v>78</v>
      </c>
      <c r="F16" s="36"/>
      <c r="G16" s="37" t="s">
        <v>78</v>
      </c>
      <c r="H16" s="36"/>
    </row>
    <row r="17" ht="105" customHeight="1" spans="1:8" x14ac:dyDescent="0.25">
      <c r="A17" s="11" t="s">
        <v>17</v>
      </c>
      <c r="B17" s="38">
        <v>5</v>
      </c>
      <c r="C17" s="39" t="s">
        <v>79</v>
      </c>
      <c r="D17" s="40" t="s">
        <v>64</v>
      </c>
      <c r="E17" s="41">
        <v>0</v>
      </c>
      <c r="F17" s="40" t="s">
        <v>78</v>
      </c>
      <c r="G17" s="41">
        <v>0</v>
      </c>
      <c r="H17" s="40" t="s">
        <v>78</v>
      </c>
    </row>
    <row r="18" ht="8.25" customHeight="1" spans="1:8" x14ac:dyDescent="0.25">
      <c r="A18" s="42"/>
      <c r="B18" s="42"/>
      <c r="C18" s="42"/>
      <c r="D18" s="42"/>
      <c r="E18" s="42"/>
      <c r="F18" s="42"/>
      <c r="G18" s="42"/>
      <c r="H18" s="42"/>
    </row>
    <row r="19" spans="1:2" x14ac:dyDescent="0.25">
      <c r="A19" s="39"/>
      <c r="B19" t="s">
        <v>80</v>
      </c>
    </row>
  </sheetData>
  <mergeCells count="1">
    <mergeCell ref="A6:H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Сводный ресурсный план</vt:lpstr>
      <vt:lpstr>Детальный ресурсный план </vt:lpstr>
      <vt:lpstr>Типовые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Щепунова</dc:creator>
  <cp:lastModifiedBy>ivan korobko</cp:lastModifiedBy>
  <dcterms:created xsi:type="dcterms:W3CDTF">2024-12-05T06:37:04Z</dcterms:created>
  <dcterms:modified xsi:type="dcterms:W3CDTF">2026-04-01T10:25:30Z</dcterms:modified>
</cp:coreProperties>
</file>