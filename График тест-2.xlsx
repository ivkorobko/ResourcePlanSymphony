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ivanv\Desktop\Web-проекты\09_02_ResPlan\"/>
    </mc:Choice>
  </mc:AlternateContent>
  <xr:revisionPtr revIDLastSave="0" documentId="13_ncr:1_{8C099ED1-0887-4461-8980-C009955B98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definedNames>
    <definedName name="_xlnm._FilterDatabase" localSheetId="0" hidden="1">Лист1!$A$11:$M$21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7" i="1" l="1"/>
  <c r="K27" i="1"/>
  <c r="H27" i="1"/>
  <c r="E27" i="1"/>
  <c r="M26" i="1"/>
  <c r="K26" i="1"/>
  <c r="H26" i="1"/>
  <c r="E26" i="1"/>
  <c r="M25" i="1"/>
  <c r="K25" i="1"/>
  <c r="H25" i="1"/>
  <c r="E25" i="1"/>
  <c r="M24" i="1"/>
  <c r="K24" i="1"/>
  <c r="H24" i="1"/>
  <c r="E24" i="1"/>
  <c r="M23" i="1"/>
  <c r="M22" i="1"/>
  <c r="H22" i="1"/>
  <c r="E22" i="1"/>
  <c r="M21" i="1"/>
  <c r="H21" i="1"/>
  <c r="M20" i="1"/>
  <c r="K20" i="1"/>
  <c r="H20" i="1"/>
  <c r="E20" i="1"/>
  <c r="M19" i="1"/>
  <c r="K19" i="1"/>
  <c r="H19" i="1"/>
  <c r="E19" i="1"/>
  <c r="M18" i="1"/>
  <c r="K18" i="1"/>
  <c r="H18" i="1"/>
  <c r="E18" i="1"/>
  <c r="M17" i="1"/>
  <c r="M16" i="1"/>
  <c r="K16" i="1"/>
  <c r="H16" i="1"/>
  <c r="M15" i="1"/>
  <c r="K15" i="1"/>
  <c r="H15" i="1"/>
  <c r="E15" i="1"/>
  <c r="M14" i="1"/>
  <c r="K14" i="1"/>
  <c r="H14" i="1"/>
  <c r="M13" i="1"/>
  <c r="K13" i="1"/>
  <c r="H13" i="1"/>
  <c r="E13" i="1"/>
  <c r="M12" i="1"/>
  <c r="K12" i="1"/>
  <c r="H12" i="1"/>
  <c r="E12" i="1"/>
</calcChain>
</file>

<file path=xl/sharedStrings.xml><?xml version="1.0" encoding="utf-8"?>
<sst xmlns="http://schemas.openxmlformats.org/spreadsheetml/2006/main" count="71" uniqueCount="43">
  <si>
    <t>Три периода</t>
  </si>
  <si>
    <t>Период отпуска включает выходные</t>
  </si>
  <si>
    <t>Последний день периода должен быть таким, что на следующий день сотрудник выходит на работу</t>
  </si>
  <si>
    <t>Пересечение внутри отдела должно быть минимальным. Согласуется руководителем</t>
  </si>
  <si>
    <t>Заполняем Отдел, ФИО, Даты с-по. Кол-во дней и Итого считается формулами</t>
  </si>
  <si>
    <t>Период 1</t>
  </si>
  <si>
    <t>Период 2</t>
  </si>
  <si>
    <t>Период 3</t>
  </si>
  <si>
    <t xml:space="preserve">Отдел </t>
  </si>
  <si>
    <t>ФИО сотрудника</t>
  </si>
  <si>
    <t>ОТПУСК С (дата начала)</t>
  </si>
  <si>
    <t>Дата окончания</t>
  </si>
  <si>
    <t>НА (количество дней отпуска)</t>
  </si>
  <si>
    <t>Дата начала</t>
  </si>
  <si>
    <t>Кол- во дней</t>
  </si>
  <si>
    <t>Итого</t>
  </si>
  <si>
    <t>Образец</t>
  </si>
  <si>
    <t>ФИО</t>
  </si>
  <si>
    <t>-</t>
  </si>
  <si>
    <t>Команда развития Слушатель</t>
  </si>
  <si>
    <t>Благушина Валерия Игоревна</t>
  </si>
  <si>
    <t>Бутенко Илья Денисович</t>
  </si>
  <si>
    <t>Корсакова Алеся Анатольевна</t>
  </si>
  <si>
    <t>Байдакова Евгения</t>
  </si>
  <si>
    <t>Команда развития CRM</t>
  </si>
  <si>
    <t>Луха Олег Валентинович</t>
  </si>
  <si>
    <t>Отдел обеспечения качества</t>
  </si>
  <si>
    <t>Кремповский Павел Романович</t>
  </si>
  <si>
    <t>Кузин Арсений Геннадьевич</t>
  </si>
  <si>
    <t>Копелович Елизавета Кирилловна</t>
  </si>
  <si>
    <t>Гальцев Олег Владимирович</t>
  </si>
  <si>
    <t>Должность</t>
  </si>
  <si>
    <t>Разработчик</t>
  </si>
  <si>
    <t>Тестировщик</t>
  </si>
  <si>
    <t>Аналитик</t>
  </si>
  <si>
    <t>Ахметзянова Александра Александровна</t>
  </si>
  <si>
    <t>Верина Ирина Михайловна</t>
  </si>
  <si>
    <t>Галуцких Ирина Николаевна</t>
  </si>
  <si>
    <t>Сатдинов Фанис Рашидович</t>
  </si>
  <si>
    <t>Чепурин Данил Дмитриевич</t>
  </si>
  <si>
    <t>Ступин Алексей Николаевич</t>
  </si>
  <si>
    <t>Тимлид</t>
  </si>
  <si>
    <t>Команда развития Спрут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</si>
</sst>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theme="1"/>
      <name val="Liberation Sans"/>
    </font>
    <font>
      <sz val="11"/>
      <color rgb="FF9C0006"/>
      <name val="Calibri"/>
      <scheme val="minor"/>
    </font>
    <font>
      <b/>
      <sz val="10"/>
      <color theme="1"/>
      <name val="Liberation Sans"/>
    </font>
    <font>
      <sz val="11"/>
      <name val="Calibri"/>
    </font>
    <font>
      <b/>
      <sz val="11"/>
      <name val="Calibri"/>
    </font>
    <font>
      <b/>
      <sz val="12"/>
      <name val="Calibri"/>
    </font>
    <font>
      <sz val="12"/>
      <name val="Calibri"/>
    </font>
    <font>
      <sz val="12"/>
      <color rgb="FF9C0006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theme="0"/>
        <bgColor theme="0"/>
      </patternFill>
    </fill>
    <fill>
      <patternFill patternType="solid">
        <fgColor indexed="65"/>
      </patternFill>
    </fill>
  </fills>
  <borders count="1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auto="1"/>
      </bottom>
      <diagonal/>
    </border>
    <border>
      <left style="thin">
        <color rgb="FFCCCCCC"/>
      </left>
      <right style="thin">
        <color auto="1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auto="1"/>
      </bottom>
      <diagonal/>
    </border>
    <border>
      <left/>
      <right/>
      <top style="thin">
        <color rgb="FFCCCCCC"/>
      </top>
      <bottom style="thin">
        <color auto="1"/>
      </bottom>
      <diagonal/>
    </border>
    <border>
      <left/>
      <right style="thin">
        <color auto="1"/>
      </right>
      <top style="thin">
        <color rgb="FFCCCCCC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auto="1"/>
      </left>
      <right style="thin">
        <color auto="1"/>
      </right>
      <top style="thin">
        <color rgb="FFCCCCCC"/>
      </top>
      <bottom/>
      <diagonal/>
    </border>
    <border>
      <left style="thin">
        <color rgb="FFCCCCCC"/>
      </left>
      <right style="thin">
        <color auto="1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auto="1"/>
      </right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</borders>
  <cellStyleXfs count="2">
    <xf numFmtId="0" fontId="0" fillId="0" borderId="0"/>
    <xf numFmtId="0" fontId="1" fillId="2" borderId="0" applyNumberFormat="0" applyBorder="0"/>
  </cellStyleXfs>
  <cellXfs count="45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5" fillId="0" borderId="11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5" fillId="0" borderId="12" xfId="0" applyFont="1" applyBorder="1" applyAlignment="1">
      <alignment vertical="center"/>
    </xf>
    <xf numFmtId="14" fontId="6" fillId="0" borderId="12" xfId="0" applyNumberFormat="1" applyFont="1" applyBorder="1" applyAlignment="1">
      <alignment horizontal="center" vertical="center" wrapText="1"/>
    </xf>
    <xf numFmtId="14" fontId="6" fillId="0" borderId="14" xfId="0" applyNumberFormat="1" applyFont="1" applyBorder="1" applyAlignment="1">
      <alignment horizontal="center" vertical="center" wrapText="1"/>
    </xf>
    <xf numFmtId="1" fontId="6" fillId="0" borderId="9" xfId="0" applyNumberFormat="1" applyFont="1" applyBorder="1" applyAlignment="1">
      <alignment horizontal="center" vertical="center" wrapText="1"/>
    </xf>
    <xf numFmtId="0" fontId="5" fillId="0" borderId="15" xfId="0" applyFont="1" applyBorder="1" applyAlignment="1">
      <alignment vertical="center" wrapText="1"/>
    </xf>
    <xf numFmtId="1" fontId="7" fillId="2" borderId="9" xfId="1" applyNumberFormat="1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14" fontId="6" fillId="0" borderId="16" xfId="0" applyNumberFormat="1" applyFont="1" applyBorder="1" applyAlignment="1">
      <alignment horizontal="center" vertical="center" wrapText="1"/>
    </xf>
    <xf numFmtId="1" fontId="6" fillId="0" borderId="16" xfId="0" applyNumberFormat="1" applyFont="1" applyBorder="1" applyAlignment="1">
      <alignment horizontal="center" vertical="center" wrapText="1"/>
    </xf>
    <xf numFmtId="1" fontId="7" fillId="2" borderId="16" xfId="1" applyNumberFormat="1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 wrapText="1"/>
    </xf>
    <xf numFmtId="0" fontId="0" fillId="3" borderId="0" xfId="0" applyFill="1"/>
    <xf numFmtId="14" fontId="6" fillId="3" borderId="16" xfId="0" applyNumberFormat="1" applyFont="1" applyFill="1" applyBorder="1" applyAlignment="1">
      <alignment horizontal="center" vertical="center" wrapText="1"/>
    </xf>
    <xf numFmtId="1" fontId="6" fillId="3" borderId="16" xfId="0" applyNumberFormat="1" applyFont="1" applyFill="1" applyBorder="1" applyAlignment="1">
      <alignment horizontal="center" vertical="center" wrapText="1"/>
    </xf>
    <xf numFmtId="14" fontId="5" fillId="3" borderId="16" xfId="0" applyNumberFormat="1" applyFont="1" applyFill="1" applyBorder="1" applyAlignment="1">
      <alignment vertical="center" wrapText="1"/>
    </xf>
    <xf numFmtId="1" fontId="7" fillId="3" borderId="16" xfId="1" applyNumberFormat="1" applyFont="1" applyFill="1" applyBorder="1" applyAlignment="1">
      <alignment horizontal="center" vertical="center" wrapText="1"/>
    </xf>
    <xf numFmtId="14" fontId="5" fillId="0" borderId="16" xfId="0" applyNumberFormat="1" applyFont="1" applyBorder="1" applyAlignment="1">
      <alignment vertical="center" wrapText="1"/>
    </xf>
    <xf numFmtId="14" fontId="0" fillId="0" borderId="0" xfId="0" applyNumberFormat="1" applyAlignment="1">
      <alignment horizontal="center" vertical="center"/>
    </xf>
    <xf numFmtId="0" fontId="6" fillId="4" borderId="16" xfId="0" applyFont="1" applyFill="1" applyBorder="1" applyAlignment="1">
      <alignment horizontal="center" vertical="center" wrapText="1"/>
    </xf>
    <xf numFmtId="1" fontId="7" fillId="0" borderId="16" xfId="1" applyNumberFormat="1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vertical="center" wrapText="1"/>
    </xf>
    <xf numFmtId="0" fontId="0" fillId="0" borderId="13" xfId="0" applyBorder="1" applyAlignment="1">
      <alignment horizontal="left" vertical="center" wrapText="1"/>
    </xf>
    <xf numFmtId="0" fontId="6" fillId="0" borderId="0" xfId="0" applyFont="1" applyBorder="1" applyAlignment="1">
      <alignment horizontal="center" vertical="center" wrapText="1"/>
    </xf>
    <xf numFmtId="1" fontId="7" fillId="2" borderId="16" xfId="1" applyNumberFormat="1" applyFont="1" applyBorder="1" applyAlignment="1">
      <alignment horizontal="center" vertical="center" wrapText="1"/>
    </xf>
    <xf numFmtId="14" fontId="6" fillId="3" borderId="0" xfId="0" applyNumberFormat="1" applyFont="1" applyFill="1" applyAlignment="1">
      <alignment horizontal="center" vertical="center" wrapText="1"/>
    </xf>
    <xf numFmtId="1" fontId="6" fillId="3" borderId="0" xfId="0" applyNumberFormat="1" applyFont="1" applyFill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</cellXfs>
  <cellStyles count="2">
    <cellStyle name="Обычный" xfId="0" builtinId="0"/>
    <cellStyle name="Плохой" xfId="1" builtinId="27"/>
  </cellStyles>
  <dxfs count="3">
    <dxf>
      <font>
        <color theme="1"/>
      </font>
      <fill>
        <patternFill patternType="solid">
          <fgColor rgb="FF70AD47"/>
          <bgColor rgb="FF70AD47"/>
        </patternFill>
      </fill>
    </dxf>
    <dxf>
      <font>
        <color theme="1"/>
      </font>
      <fill>
        <patternFill patternType="solid">
          <fgColor rgb="FF70AD47"/>
          <bgColor rgb="FF70AD47"/>
        </patternFill>
      </fill>
    </dxf>
    <dxf>
      <font>
        <color theme="1"/>
      </font>
      <fill>
        <patternFill patternType="solid">
          <fgColor rgb="FF70AD47"/>
          <bgColor rgb="FF70AD4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workbookViewId="0">
      <pane ySplit="11" topLeftCell="A12" activePane="bottomLeft" state="frozen"/>
      <selection pane="bottomLeft" activeCell="C14" sqref="C14"/>
    </sheetView>
  </sheetViews>
  <sheetFormatPr defaultColWidth="10.42578125" defaultRowHeight="12.75"/>
  <cols>
    <col min="2" max="3" width="13" customWidth="1"/>
    <col min="4" max="4" width="12.85546875" customWidth="1"/>
    <col min="5" max="5" width="12" customWidth="1"/>
    <col min="7" max="7" width="11.7109375" customWidth="1"/>
    <col min="8" max="8" width="13.5703125" customWidth="1"/>
    <col min="10" max="10" width="11.5703125" customWidth="1"/>
    <col min="11" max="11" width="13.140625" customWidth="1"/>
  </cols>
  <sheetData>
    <row r="1" spans="1:13" ht="15">
      <c r="A1" s="1"/>
      <c r="B1" s="2" t="s">
        <v>0</v>
      </c>
      <c r="C1" s="2"/>
      <c r="D1" s="2">
        <v>7</v>
      </c>
      <c r="E1" s="3"/>
      <c r="F1" s="3"/>
      <c r="G1" s="3"/>
      <c r="H1" s="3">
        <v>0</v>
      </c>
      <c r="I1" s="3"/>
      <c r="J1" s="3"/>
      <c r="K1" s="3"/>
      <c r="L1" s="3"/>
      <c r="M1" s="3"/>
    </row>
    <row r="2" spans="1:13" ht="15">
      <c r="A2" s="3"/>
      <c r="B2" s="3"/>
      <c r="C2" s="3"/>
      <c r="D2" s="2">
        <v>7</v>
      </c>
      <c r="E2" s="3"/>
      <c r="F2" s="3"/>
      <c r="G2" s="3"/>
      <c r="H2" s="3">
        <v>7</v>
      </c>
      <c r="I2" s="3"/>
      <c r="J2" s="3"/>
      <c r="K2" s="3"/>
      <c r="L2" s="3"/>
      <c r="M2" s="3"/>
    </row>
    <row r="3" spans="1:13" ht="15">
      <c r="A3" s="3"/>
      <c r="B3" s="3"/>
      <c r="C3" s="3"/>
      <c r="D3" s="2">
        <v>14</v>
      </c>
      <c r="E3" s="3"/>
      <c r="F3" s="3"/>
      <c r="G3" s="3"/>
      <c r="H3" s="3">
        <v>14</v>
      </c>
      <c r="I3" s="3"/>
      <c r="J3" s="3"/>
      <c r="K3" s="3"/>
      <c r="L3" s="3"/>
      <c r="M3" s="3"/>
    </row>
    <row r="4" spans="1:13" ht="25.5" customHeight="1">
      <c r="A4" s="3"/>
      <c r="B4" s="42" t="s">
        <v>1</v>
      </c>
      <c r="C4" s="43"/>
      <c r="D4" s="44"/>
      <c r="E4" s="3"/>
      <c r="F4" s="3"/>
      <c r="G4" s="3"/>
      <c r="H4" s="3"/>
      <c r="I4" s="3"/>
      <c r="J4" s="3"/>
      <c r="K4" s="3"/>
      <c r="L4" s="3"/>
      <c r="M4" s="3"/>
    </row>
    <row r="5" spans="1:13" ht="22.5" customHeight="1">
      <c r="A5" s="3"/>
      <c r="B5" s="42" t="s">
        <v>2</v>
      </c>
      <c r="C5" s="43"/>
      <c r="D5" s="43"/>
      <c r="E5" s="43"/>
      <c r="F5" s="43"/>
      <c r="G5" s="43"/>
      <c r="H5" s="44"/>
      <c r="I5" s="3"/>
      <c r="J5" s="3"/>
      <c r="K5" s="3"/>
      <c r="L5" s="3"/>
      <c r="M5" s="3"/>
    </row>
    <row r="6" spans="1:13" ht="31.5" customHeight="1">
      <c r="A6" s="3"/>
      <c r="B6" s="42" t="s">
        <v>3</v>
      </c>
      <c r="C6" s="43"/>
      <c r="D6" s="43"/>
      <c r="E6" s="43"/>
      <c r="F6" s="43"/>
      <c r="G6" s="44"/>
      <c r="H6" s="3"/>
      <c r="I6" s="3"/>
      <c r="J6" s="3"/>
      <c r="K6" s="3"/>
      <c r="L6" s="3"/>
      <c r="M6" s="3"/>
    </row>
    <row r="7" spans="1:13" ht="26.25" customHeight="1">
      <c r="A7" s="3"/>
      <c r="B7" s="42" t="s">
        <v>4</v>
      </c>
      <c r="C7" s="43"/>
      <c r="D7" s="43"/>
      <c r="E7" s="43"/>
      <c r="F7" s="43"/>
      <c r="G7" s="44"/>
      <c r="H7" s="3"/>
      <c r="I7" s="3"/>
      <c r="J7" s="3"/>
      <c r="K7" s="3"/>
      <c r="L7" s="3"/>
      <c r="M7" s="3"/>
    </row>
    <row r="8" spans="1:13">
      <c r="A8" s="3"/>
      <c r="B8" s="3"/>
      <c r="C8" s="6"/>
      <c r="D8" s="4"/>
      <c r="E8" s="4"/>
      <c r="F8" s="4"/>
      <c r="G8" s="4"/>
      <c r="H8" s="4"/>
      <c r="I8" s="4"/>
      <c r="J8" s="4"/>
      <c r="K8" s="4"/>
      <c r="L8" s="4"/>
      <c r="M8" s="3"/>
    </row>
    <row r="9" spans="1:13" ht="15">
      <c r="A9" s="3"/>
      <c r="B9" s="5"/>
      <c r="C9" s="33"/>
      <c r="D9" s="39" t="s">
        <v>5</v>
      </c>
      <c r="E9" s="40"/>
      <c r="F9" s="41"/>
      <c r="G9" s="39" t="s">
        <v>6</v>
      </c>
      <c r="H9" s="40"/>
      <c r="I9" s="41"/>
      <c r="J9" s="39" t="s">
        <v>7</v>
      </c>
      <c r="K9" s="40"/>
      <c r="L9" s="41"/>
      <c r="M9" s="3"/>
    </row>
    <row r="10" spans="1:13">
      <c r="A10" s="4"/>
      <c r="B10" s="4"/>
      <c r="C10" s="4"/>
      <c r="D10" s="4"/>
      <c r="E10" s="6"/>
      <c r="F10" s="4"/>
      <c r="G10" s="4"/>
      <c r="H10" s="4"/>
      <c r="I10" s="4"/>
      <c r="J10" s="4"/>
      <c r="K10" s="4"/>
      <c r="L10" s="4"/>
      <c r="M10" s="4"/>
    </row>
    <row r="11" spans="1:13" ht="63">
      <c r="A11" s="7" t="s">
        <v>8</v>
      </c>
      <c r="B11" s="8" t="s">
        <v>9</v>
      </c>
      <c r="C11" s="9" t="s">
        <v>31</v>
      </c>
      <c r="D11" s="9" t="s">
        <v>10</v>
      </c>
      <c r="E11" s="8" t="s">
        <v>11</v>
      </c>
      <c r="F11" s="10" t="s">
        <v>12</v>
      </c>
      <c r="G11" s="8" t="s">
        <v>13</v>
      </c>
      <c r="H11" s="8" t="s">
        <v>11</v>
      </c>
      <c r="I11" s="8" t="s">
        <v>14</v>
      </c>
      <c r="J11" s="8" t="s">
        <v>13</v>
      </c>
      <c r="K11" s="8" t="s">
        <v>11</v>
      </c>
      <c r="L11" s="11" t="s">
        <v>14</v>
      </c>
      <c r="M11" s="8" t="s">
        <v>15</v>
      </c>
    </row>
    <row r="12" spans="1:13" ht="15.75">
      <c r="A12" s="7" t="s">
        <v>16</v>
      </c>
      <c r="B12" s="9" t="s">
        <v>17</v>
      </c>
      <c r="C12" s="9"/>
      <c r="D12" s="12"/>
      <c r="E12" s="13" t="e">
        <f t="shared" ref="E12:E20" si="0">D12+F12-1</f>
        <v>#VALUE!</v>
      </c>
      <c r="F12" s="14" t="s">
        <v>18</v>
      </c>
      <c r="G12" s="15"/>
      <c r="H12" s="12" t="e">
        <f t="shared" ref="H12:H21" si="1">G12+I12-1</f>
        <v>#VALUE!</v>
      </c>
      <c r="I12" s="14" t="s">
        <v>18</v>
      </c>
      <c r="J12" s="15"/>
      <c r="K12" s="12" t="e">
        <f t="shared" ref="K12:K20" si="2">J12+L12-1</f>
        <v>#VALUE!</v>
      </c>
      <c r="L12" s="14" t="s">
        <v>18</v>
      </c>
      <c r="M12" s="16" t="e">
        <f t="shared" ref="M12:M21" si="3">SUM(F12+I12+L12)</f>
        <v>#VALUE!</v>
      </c>
    </row>
    <row r="13" spans="1:13" ht="63">
      <c r="A13" s="17" t="s">
        <v>19</v>
      </c>
      <c r="B13" s="17" t="s">
        <v>20</v>
      </c>
      <c r="C13" s="17" t="s">
        <v>34</v>
      </c>
      <c r="D13" s="18">
        <v>46091</v>
      </c>
      <c r="E13" s="18">
        <f t="shared" si="0"/>
        <v>46097</v>
      </c>
      <c r="F13" s="19">
        <v>7</v>
      </c>
      <c r="G13" s="28">
        <v>46223</v>
      </c>
      <c r="H13" s="18">
        <f t="shared" si="1"/>
        <v>46236</v>
      </c>
      <c r="I13" s="19">
        <v>14</v>
      </c>
      <c r="J13" s="28">
        <v>46335</v>
      </c>
      <c r="K13" s="18">
        <f t="shared" si="2"/>
        <v>46341</v>
      </c>
      <c r="L13" s="19">
        <v>7</v>
      </c>
      <c r="M13" s="20">
        <f t="shared" si="3"/>
        <v>28</v>
      </c>
    </row>
    <row r="14" spans="1:13" s="23" customFormat="1" ht="63">
      <c r="A14" s="21" t="s">
        <v>19</v>
      </c>
      <c r="B14" s="21" t="s">
        <v>21</v>
      </c>
      <c r="C14" s="21" t="s">
        <v>32</v>
      </c>
      <c r="D14" s="24">
        <v>46062</v>
      </c>
      <c r="E14" s="24">
        <v>46068</v>
      </c>
      <c r="F14" s="25">
        <v>7</v>
      </c>
      <c r="G14" s="26">
        <v>46209</v>
      </c>
      <c r="H14" s="24">
        <f t="shared" si="1"/>
        <v>46222</v>
      </c>
      <c r="I14" s="25">
        <v>14</v>
      </c>
      <c r="J14" s="26">
        <v>46286</v>
      </c>
      <c r="K14" s="24">
        <f t="shared" si="2"/>
        <v>46292</v>
      </c>
      <c r="L14" s="25">
        <v>7</v>
      </c>
      <c r="M14" s="27">
        <f t="shared" si="3"/>
        <v>28</v>
      </c>
    </row>
    <row r="15" spans="1:13" ht="63">
      <c r="A15" s="17" t="s">
        <v>19</v>
      </c>
      <c r="B15" s="17" t="s">
        <v>22</v>
      </c>
      <c r="C15" s="34" t="s">
        <v>34</v>
      </c>
      <c r="D15" s="29">
        <v>46174</v>
      </c>
      <c r="E15" s="18">
        <f t="shared" si="0"/>
        <v>46180</v>
      </c>
      <c r="F15" s="19">
        <v>7</v>
      </c>
      <c r="G15" s="18">
        <v>46258</v>
      </c>
      <c r="H15" s="22">
        <f t="shared" si="1"/>
        <v>46271</v>
      </c>
      <c r="I15" s="19">
        <v>14</v>
      </c>
      <c r="J15" s="28">
        <v>46380</v>
      </c>
      <c r="K15" s="18">
        <f t="shared" si="2"/>
        <v>46386</v>
      </c>
      <c r="L15" s="19">
        <v>7</v>
      </c>
      <c r="M15" s="20">
        <f t="shared" si="3"/>
        <v>28</v>
      </c>
    </row>
    <row r="16" spans="1:13" ht="63">
      <c r="A16" s="30" t="s">
        <v>19</v>
      </c>
      <c r="B16" s="30" t="s">
        <v>23</v>
      </c>
      <c r="C16" s="30" t="s">
        <v>34</v>
      </c>
      <c r="D16" s="18">
        <v>46125</v>
      </c>
      <c r="E16" s="18">
        <v>46131</v>
      </c>
      <c r="F16" s="19">
        <v>7</v>
      </c>
      <c r="G16" s="28">
        <v>46209</v>
      </c>
      <c r="H16" s="18">
        <f t="shared" si="1"/>
        <v>46222</v>
      </c>
      <c r="I16" s="19">
        <v>14</v>
      </c>
      <c r="J16" s="28">
        <v>46342</v>
      </c>
      <c r="K16" s="18">
        <f t="shared" si="2"/>
        <v>46348</v>
      </c>
      <c r="L16" s="19">
        <v>7</v>
      </c>
      <c r="M16" s="20">
        <f t="shared" si="3"/>
        <v>28</v>
      </c>
    </row>
    <row r="17" spans="1:13" ht="47.25">
      <c r="A17" s="17" t="s">
        <v>24</v>
      </c>
      <c r="B17" s="17" t="s">
        <v>25</v>
      </c>
      <c r="C17" s="34" t="s">
        <v>32</v>
      </c>
      <c r="D17" s="22">
        <v>46097</v>
      </c>
      <c r="E17" s="22">
        <v>46110</v>
      </c>
      <c r="F17" s="19">
        <v>14</v>
      </c>
      <c r="G17" s="22">
        <v>46125</v>
      </c>
      <c r="H17" s="22">
        <v>46131</v>
      </c>
      <c r="I17" s="19">
        <v>7</v>
      </c>
      <c r="J17" s="22">
        <v>46146</v>
      </c>
      <c r="K17" s="22">
        <v>46152</v>
      </c>
      <c r="L17" s="19">
        <v>7</v>
      </c>
      <c r="M17" s="31">
        <f t="shared" si="3"/>
        <v>28</v>
      </c>
    </row>
    <row r="18" spans="1:13" s="23" customFormat="1" ht="63">
      <c r="A18" s="21" t="s">
        <v>26</v>
      </c>
      <c r="B18" s="21" t="s">
        <v>27</v>
      </c>
      <c r="C18" s="21" t="s">
        <v>33</v>
      </c>
      <c r="D18" s="24">
        <v>46209</v>
      </c>
      <c r="E18" s="24">
        <f t="shared" si="0"/>
        <v>46222</v>
      </c>
      <c r="F18" s="25">
        <v>14</v>
      </c>
      <c r="G18" s="26">
        <v>46373</v>
      </c>
      <c r="H18" s="24">
        <f t="shared" si="1"/>
        <v>46386</v>
      </c>
      <c r="I18" s="25">
        <v>14</v>
      </c>
      <c r="J18" s="32"/>
      <c r="K18" s="24">
        <f t="shared" si="2"/>
        <v>-1</v>
      </c>
      <c r="L18" s="25">
        <v>0</v>
      </c>
      <c r="M18" s="27">
        <f t="shared" si="3"/>
        <v>28</v>
      </c>
    </row>
    <row r="19" spans="1:13" s="23" customFormat="1" ht="63">
      <c r="A19" s="21" t="s">
        <v>26</v>
      </c>
      <c r="B19" s="21" t="s">
        <v>28</v>
      </c>
      <c r="C19" s="21" t="s">
        <v>33</v>
      </c>
      <c r="D19" s="24">
        <v>46132</v>
      </c>
      <c r="E19" s="24">
        <f t="shared" si="0"/>
        <v>46138</v>
      </c>
      <c r="F19" s="25">
        <v>7</v>
      </c>
      <c r="G19" s="26">
        <v>46223</v>
      </c>
      <c r="H19" s="24">
        <f t="shared" si="1"/>
        <v>46229</v>
      </c>
      <c r="I19" s="25">
        <v>7</v>
      </c>
      <c r="J19" s="26">
        <v>46307</v>
      </c>
      <c r="K19" s="24">
        <f t="shared" si="2"/>
        <v>46320</v>
      </c>
      <c r="L19" s="25">
        <v>14</v>
      </c>
      <c r="M19" s="27">
        <f t="shared" si="3"/>
        <v>28</v>
      </c>
    </row>
    <row r="20" spans="1:13" s="23" customFormat="1" ht="63">
      <c r="A20" s="21" t="s">
        <v>26</v>
      </c>
      <c r="B20" s="21" t="s">
        <v>29</v>
      </c>
      <c r="C20" s="21" t="s">
        <v>33</v>
      </c>
      <c r="D20" s="24">
        <v>46118</v>
      </c>
      <c r="E20" s="24">
        <f t="shared" si="0"/>
        <v>46131</v>
      </c>
      <c r="F20" s="25">
        <v>14</v>
      </c>
      <c r="G20" s="26">
        <v>46188</v>
      </c>
      <c r="H20" s="24">
        <f t="shared" si="1"/>
        <v>46194</v>
      </c>
      <c r="I20" s="25">
        <v>7</v>
      </c>
      <c r="J20" s="26">
        <v>46332</v>
      </c>
      <c r="K20" s="24">
        <f t="shared" si="2"/>
        <v>46338</v>
      </c>
      <c r="L20" s="25">
        <v>7</v>
      </c>
      <c r="M20" s="27">
        <f t="shared" si="3"/>
        <v>28</v>
      </c>
    </row>
    <row r="21" spans="1:13" s="23" customFormat="1" ht="63">
      <c r="A21" s="17" t="s">
        <v>19</v>
      </c>
      <c r="B21" s="21" t="s">
        <v>30</v>
      </c>
      <c r="C21" s="38" t="s">
        <v>32</v>
      </c>
      <c r="D21" s="24">
        <v>46111</v>
      </c>
      <c r="E21" s="24">
        <v>46117</v>
      </c>
      <c r="F21" s="25">
        <v>7</v>
      </c>
      <c r="G21" s="24">
        <v>46223</v>
      </c>
      <c r="H21" s="24">
        <f t="shared" si="1"/>
        <v>46236</v>
      </c>
      <c r="I21" s="25">
        <v>14</v>
      </c>
      <c r="J21" s="26">
        <v>46321</v>
      </c>
      <c r="K21" s="24">
        <v>46327</v>
      </c>
      <c r="L21" s="25">
        <v>7</v>
      </c>
      <c r="M21" s="27">
        <f t="shared" si="3"/>
        <v>28</v>
      </c>
    </row>
    <row r="22" spans="1:13" ht="78.75">
      <c r="A22" s="30" t="s">
        <v>42</v>
      </c>
      <c r="B22" s="17" t="s">
        <v>35</v>
      </c>
      <c r="C22" s="38" t="s">
        <v>32</v>
      </c>
      <c r="D22" s="18">
        <v>46167</v>
      </c>
      <c r="E22" s="18">
        <f t="shared" ref="E22:E27" si="4">D22+F22-1</f>
        <v>46173</v>
      </c>
      <c r="F22" s="19">
        <v>7</v>
      </c>
      <c r="G22" s="28">
        <v>46209</v>
      </c>
      <c r="H22" s="18">
        <f t="shared" ref="H22:H27" si="5">G22+I22-1</f>
        <v>46222</v>
      </c>
      <c r="I22" s="19">
        <v>14</v>
      </c>
      <c r="J22" s="28">
        <v>46321</v>
      </c>
      <c r="K22" s="18">
        <v>46327</v>
      </c>
      <c r="L22" s="19">
        <v>7</v>
      </c>
      <c r="M22" s="35">
        <f t="shared" ref="M22:M27" si="6">SUM(F22+I22+L22)</f>
        <v>28</v>
      </c>
    </row>
    <row r="23" spans="1:13" ht="63">
      <c r="A23" s="30" t="s">
        <v>42</v>
      </c>
      <c r="B23" s="17" t="s">
        <v>36</v>
      </c>
      <c r="C23" s="38" t="s">
        <v>41</v>
      </c>
      <c r="D23" s="18">
        <v>46125</v>
      </c>
      <c r="E23" s="18">
        <v>46131</v>
      </c>
      <c r="F23" s="19">
        <v>7</v>
      </c>
      <c r="G23" s="28">
        <v>46251</v>
      </c>
      <c r="H23" s="18">
        <v>46264</v>
      </c>
      <c r="I23" s="19">
        <v>14</v>
      </c>
      <c r="J23" s="28">
        <v>46377</v>
      </c>
      <c r="K23" s="18">
        <v>46383</v>
      </c>
      <c r="L23" s="19">
        <v>7</v>
      </c>
      <c r="M23" s="35">
        <f t="shared" si="6"/>
        <v>28</v>
      </c>
    </row>
    <row r="24" spans="1:13" ht="47.25">
      <c r="A24" s="30" t="s">
        <v>42</v>
      </c>
      <c r="B24" s="17" t="s">
        <v>37</v>
      </c>
      <c r="C24" s="38" t="s">
        <v>34</v>
      </c>
      <c r="D24" s="18">
        <v>46111</v>
      </c>
      <c r="E24" s="18">
        <f t="shared" si="4"/>
        <v>46117</v>
      </c>
      <c r="F24" s="19">
        <v>7</v>
      </c>
      <c r="G24" s="28">
        <v>46174</v>
      </c>
      <c r="H24" s="18">
        <f t="shared" si="5"/>
        <v>46187</v>
      </c>
      <c r="I24" s="19">
        <v>14</v>
      </c>
      <c r="J24" s="28">
        <v>46265</v>
      </c>
      <c r="K24" s="18">
        <f t="shared" ref="K24:K27" si="7">J24+L24-1</f>
        <v>46271</v>
      </c>
      <c r="L24" s="19">
        <v>7</v>
      </c>
      <c r="M24" s="35">
        <f t="shared" si="6"/>
        <v>28</v>
      </c>
    </row>
    <row r="25" spans="1:13" ht="47.25">
      <c r="A25" s="30" t="s">
        <v>42</v>
      </c>
      <c r="B25" s="17" t="s">
        <v>38</v>
      </c>
      <c r="C25" s="38" t="s">
        <v>34</v>
      </c>
      <c r="D25" s="18">
        <v>46188</v>
      </c>
      <c r="E25" s="18">
        <f t="shared" si="4"/>
        <v>46194</v>
      </c>
      <c r="F25" s="19">
        <v>7</v>
      </c>
      <c r="G25" s="28">
        <v>46237</v>
      </c>
      <c r="H25" s="18">
        <f t="shared" si="5"/>
        <v>46250</v>
      </c>
      <c r="I25" s="19">
        <v>14</v>
      </c>
      <c r="J25" s="28">
        <v>46348</v>
      </c>
      <c r="K25" s="18">
        <f t="shared" si="7"/>
        <v>46354</v>
      </c>
      <c r="L25" s="19">
        <v>7</v>
      </c>
      <c r="M25" s="35">
        <f t="shared" si="6"/>
        <v>28</v>
      </c>
    </row>
    <row r="26" spans="1:13" ht="63">
      <c r="A26" s="30" t="s">
        <v>42</v>
      </c>
      <c r="B26" s="21" t="s">
        <v>39</v>
      </c>
      <c r="C26" s="38" t="s">
        <v>32</v>
      </c>
      <c r="D26" s="24">
        <v>46091</v>
      </c>
      <c r="E26" s="24">
        <f t="shared" si="4"/>
        <v>46097</v>
      </c>
      <c r="F26" s="25">
        <v>7</v>
      </c>
      <c r="G26" s="36">
        <v>46205</v>
      </c>
      <c r="H26" s="24">
        <f t="shared" si="5"/>
        <v>46218</v>
      </c>
      <c r="I26" s="37">
        <v>14</v>
      </c>
      <c r="J26" s="26">
        <v>46302</v>
      </c>
      <c r="K26" s="24">
        <f t="shared" si="7"/>
        <v>46308</v>
      </c>
      <c r="L26" s="25">
        <v>7</v>
      </c>
      <c r="M26" s="27">
        <f t="shared" si="6"/>
        <v>28</v>
      </c>
    </row>
    <row r="27" spans="1:13" ht="47.25">
      <c r="A27" s="30" t="s">
        <v>42</v>
      </c>
      <c r="B27" s="30" t="s">
        <v>40</v>
      </c>
      <c r="C27" s="38" t="s">
        <v>32</v>
      </c>
      <c r="D27" s="18">
        <v>46202</v>
      </c>
      <c r="E27" s="18">
        <f t="shared" si="4"/>
        <v>46208</v>
      </c>
      <c r="F27" s="19">
        <v>7</v>
      </c>
      <c r="G27" s="28">
        <v>46237</v>
      </c>
      <c r="H27" s="18">
        <f t="shared" si="5"/>
        <v>46250</v>
      </c>
      <c r="I27" s="19">
        <v>14</v>
      </c>
      <c r="J27" s="28">
        <v>46335</v>
      </c>
      <c r="K27" s="18">
        <f t="shared" si="7"/>
        <v>46341</v>
      </c>
      <c r="L27" s="19">
        <v>7</v>
      </c>
      <c r="M27" s="35">
        <f t="shared" si="6"/>
        <v>28</v>
      </c>
    </row>
  </sheetData>
  <autoFilter ref="A11:M21" xr:uid="{00000000-0009-0000-0000-000000000000}"/>
  <mergeCells count="7">
    <mergeCell ref="J9:L9"/>
    <mergeCell ref="B4:D4"/>
    <mergeCell ref="B5:H5"/>
    <mergeCell ref="B6:G6"/>
    <mergeCell ref="B7:G7"/>
    <mergeCell ref="D9:F9"/>
    <mergeCell ref="G9:I9"/>
  </mergeCells>
  <conditionalFormatting sqref="M13:M21">
    <cfRule type="cellIs" dxfId="2" priority="2" operator="equal">
      <formula>28</formula>
    </cfRule>
  </conditionalFormatting>
  <conditionalFormatting sqref="M12">
    <cfRule type="cellIs" dxfId="1" priority="3" operator="equal">
      <formula>28</formula>
    </cfRule>
  </conditionalFormatting>
  <conditionalFormatting sqref="M22:M27">
    <cfRule type="cellIs" dxfId="0" priority="1" operator="equal">
      <formula>28</formula>
    </cfRule>
  </conditionalFormatting>
  <dataValidations count="2">
    <dataValidation type="list" operator="equal" showInputMessage="1" showErrorMessage="1" sqref="F12:F21 I12:I21 L12:L21" xr:uid="{007200A6-006D-400A-A303-00690061005E}">
      <formula1>$H$1:$H$3</formula1>
    </dataValidation>
    <dataValidation type="list" operator="equal" showInputMessage="1" showErrorMessage="1" sqref="F22:F27 I22:I27 L22:L27" xr:uid="{3B6A8DBF-719C-460E-BA58-09FF4DC74DF6}">
      <formula1>$G$1:$G$3</formula1>
    </dataValidation>
  </dataValidations>
  <pageMargins left="0.7" right="0.7" top="0.75" bottom="0.75" header="0.51181102362204689" footer="0.51181102362204689"/>
  <pageSetup paperSize="9" orientation="portrait" horizontalDpi="300" verticalDpi="300"/>
  <extLst>
    <ext uri="{231B7EB2-2AFC-4442-B178-5FFDF5851E7C}">
      <userProtectedRanges>
        <userProtectedRange name="строка 12" sqref="12:12">
          <users>
            <user id="1130000063737399" name="Иван Коробко"/>
          </users>
        </userProtectedRange>
      </userProtectedRange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Иван Коробко</dc:creator>
  <dc:description/>
  <cp:lastModifiedBy>ivan korobko</cp:lastModifiedBy>
  <cp:revision>64</cp:revision>
  <dcterms:created xsi:type="dcterms:W3CDTF">2023-08-25T14:01:22Z</dcterms:created>
  <dcterms:modified xsi:type="dcterms:W3CDTF">2026-04-02T09:37:35Z</dcterms:modified>
  <dc:language>ru-RU</dc:language>
</cp:coreProperties>
</file>