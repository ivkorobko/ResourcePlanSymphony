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Лист1" sheetId="1" state="visible" r:id="rId1"/>
  </sheets>
  <definedNames>
    <definedName name="_xlnm._FilterDatabase" localSheetId="0" hidden="1">'Лист1'!$A$11:$L$115</definedName>
    <definedName name="_xlnm._FilterDatabase" localSheetId="0" hidden="1">'Лист1'!$A$11:$L$115</definedName>
  </definedNames>
  <calcPr/>
</workbook>
</file>

<file path=xl/sharedStrings.xml><?xml version="1.0" encoding="utf-8"?>
<sst xmlns="http://schemas.openxmlformats.org/spreadsheetml/2006/main" count="122" uniqueCount="122">
  <si>
    <t xml:space="preserve">Три периода</t>
  </si>
  <si>
    <t xml:space="preserve">Период отпуска включает выходные</t>
  </si>
  <si>
    <t xml:space="preserve">Последний день периода должен быть таким, что на следующий день сотрудник выходит на работу</t>
  </si>
  <si>
    <t xml:space="preserve">Пересечение внутри отдела должно быть минимальным. Согласуется руководителем</t>
  </si>
  <si>
    <t xml:space="preserve">Заполняем Отдел, ФИО, Даты с-по. Кол-во дней и Итого считается формулами</t>
  </si>
  <si>
    <t xml:space="preserve">Период 1</t>
  </si>
  <si>
    <t xml:space="preserve">Период 2</t>
  </si>
  <si>
    <t xml:space="preserve">Период 3</t>
  </si>
  <si>
    <t xml:space="preserve">Отдел </t>
  </si>
  <si>
    <t xml:space="preserve">ФИО сотрудника</t>
  </si>
  <si>
    <t xml:space="preserve">ОТПУСК С (дата начала)</t>
  </si>
  <si>
    <t xml:space="preserve">Дата окончания</t>
  </si>
  <si>
    <t xml:space="preserve">НА (количество дней отпуска)</t>
  </si>
  <si>
    <t xml:space="preserve">Дата начала</t>
  </si>
  <si>
    <t xml:space="preserve">Кол- во дней</t>
  </si>
  <si>
    <t>Итого</t>
  </si>
  <si>
    <t>Образец</t>
  </si>
  <si>
    <t>ФИО</t>
  </si>
  <si>
    <t>-</t>
  </si>
  <si>
    <t xml:space="preserve">Архитектурный контроль</t>
  </si>
  <si>
    <t xml:space="preserve">Бурцев Антон Петрович</t>
  </si>
  <si>
    <t xml:space="preserve">Прудищев Артем Николаевич</t>
  </si>
  <si>
    <t xml:space="preserve">Команда развития 1С</t>
  </si>
  <si>
    <t xml:space="preserve">Анвури Виктор Клементьевич</t>
  </si>
  <si>
    <t xml:space="preserve">Опочинская Марина Юльевна</t>
  </si>
  <si>
    <t xml:space="preserve">Хорошкова Марина Владимировна</t>
  </si>
  <si>
    <t xml:space="preserve">Цуканов Александр Андреевич</t>
  </si>
  <si>
    <t xml:space="preserve">Команда развития аналитической отчетности</t>
  </si>
  <si>
    <t xml:space="preserve">Воронкин Денис Сергеевич</t>
  </si>
  <si>
    <t xml:space="preserve">Фатыхов Дамир Айдарович</t>
  </si>
  <si>
    <t xml:space="preserve">Команда развития Слушатель</t>
  </si>
  <si>
    <t xml:space="preserve">Благушина Валерия Игоревна</t>
  </si>
  <si>
    <t xml:space="preserve">Бутенко Илья Денисович</t>
  </si>
  <si>
    <t xml:space="preserve">Корсакова Алеся Анатольевна</t>
  </si>
  <si>
    <t xml:space="preserve">Байдакова Евгения</t>
  </si>
  <si>
    <t xml:space="preserve">Команда развития Спрут</t>
  </si>
  <si>
    <t xml:space="preserve">Ахметзянова Александра Александровна</t>
  </si>
  <si>
    <t xml:space="preserve">Верина Ирина Михайловна</t>
  </si>
  <si>
    <t xml:space="preserve">Галуцких Ирина Николаевна</t>
  </si>
  <si>
    <t xml:space="preserve">Сатдинов Фанис Рашидович</t>
  </si>
  <si>
    <t xml:space="preserve">Чепурин Данил Дмитриевич</t>
  </si>
  <si>
    <t xml:space="preserve">Ступин Алексей Николаевич</t>
  </si>
  <si>
    <t xml:space="preserve">Команда развития CRM</t>
  </si>
  <si>
    <t xml:space="preserve">Коняев Алексей Владимирович</t>
  </si>
  <si>
    <t xml:space="preserve">Луха Олег Валентинович</t>
  </si>
  <si>
    <t xml:space="preserve">Отдел информационной безопасности</t>
  </si>
  <si>
    <t xml:space="preserve">Власов Роман Альбертович</t>
  </si>
  <si>
    <t xml:space="preserve">Отдел обеспечения качества</t>
  </si>
  <si>
    <t xml:space="preserve">Андреева Александра Олеговна</t>
  </si>
  <si>
    <t xml:space="preserve">Бурцева Анна Кареновна</t>
  </si>
  <si>
    <t xml:space="preserve">Чекменев Никита Сергеевич</t>
  </si>
  <si>
    <t xml:space="preserve">Козлова Ольга Игоревна</t>
  </si>
  <si>
    <t xml:space="preserve">Кремповский Павел Романович</t>
  </si>
  <si>
    <t xml:space="preserve">Кузин Арсений Геннадьевич</t>
  </si>
  <si>
    <t xml:space="preserve">Кузина Юлия Сергеевна</t>
  </si>
  <si>
    <t xml:space="preserve">Копелович Елизавета Кирилловна</t>
  </si>
  <si>
    <t xml:space="preserve">Казаков Сергей Александрович</t>
  </si>
  <si>
    <t xml:space="preserve">Бродников Данил Алексеевич</t>
  </si>
  <si>
    <t xml:space="preserve">Славинский Иван Сергеевич</t>
  </si>
  <si>
    <t xml:space="preserve">Юрасова Наталия Владимировна </t>
  </si>
  <si>
    <t xml:space="preserve">Отдел поддержки информационных систем</t>
  </si>
  <si>
    <t xml:space="preserve">Егоров Геннадий Борисович</t>
  </si>
  <si>
    <t xml:space="preserve">Казаров Дмитрий Николаевич</t>
  </si>
  <si>
    <t xml:space="preserve">Кочанов Артем Андреевич</t>
  </si>
  <si>
    <t xml:space="preserve">Пиннекер Владислав Сергеевич</t>
  </si>
  <si>
    <t xml:space="preserve">Ускова Карина Николаевна</t>
  </si>
  <si>
    <t xml:space="preserve">Филатова Виктория Сергеевна</t>
  </si>
  <si>
    <t xml:space="preserve">Рузаева Алина Анатольевна</t>
  </si>
  <si>
    <t xml:space="preserve">Милохов Виталий Владиславович</t>
  </si>
  <si>
    <t xml:space="preserve">Отдел развития СДО</t>
  </si>
  <si>
    <t xml:space="preserve">Алдошина Алиса Алексеевна</t>
  </si>
  <si>
    <t xml:space="preserve">Любопытнова Марина Владимировна</t>
  </si>
  <si>
    <t xml:space="preserve">Чернова Ксения Андреевна</t>
  </si>
  <si>
    <t xml:space="preserve">Отдел разработки мобильных приложений</t>
  </si>
  <si>
    <t xml:space="preserve">Вагнер Денис Владимирович</t>
  </si>
  <si>
    <t xml:space="preserve">Хахалов Леонид Тарасович</t>
  </si>
  <si>
    <t xml:space="preserve">Отдел разработки СДО</t>
  </si>
  <si>
    <t xml:space="preserve">Гальцев Олег Владимирович</t>
  </si>
  <si>
    <t xml:space="preserve">Горбачев Денис Сергеевич</t>
  </si>
  <si>
    <t xml:space="preserve">Горожанкин Владислав Сергеевич</t>
  </si>
  <si>
    <t xml:space="preserve">Утробин Дмитрий Викторович</t>
  </si>
  <si>
    <t xml:space="preserve">Федосеев Алексей Эдуардович</t>
  </si>
  <si>
    <t xml:space="preserve">Шевченко Максим Михайлович</t>
  </si>
  <si>
    <t xml:space="preserve">Шкуропат Денис Олегович</t>
  </si>
  <si>
    <t xml:space="preserve">Шубин Максим Сергеевич</t>
  </si>
  <si>
    <t xml:space="preserve">Отдел системного администрирования</t>
  </si>
  <si>
    <t xml:space="preserve">Мусханов Дмитрий Юрьевич</t>
  </si>
  <si>
    <t xml:space="preserve">Таджибаев Борис Бахтиярович</t>
  </si>
  <si>
    <t xml:space="preserve">Отдел технической поддержки</t>
  </si>
  <si>
    <t xml:space="preserve">Власенко Владимир Александрович</t>
  </si>
  <si>
    <t xml:space="preserve">Даильнев Андрей Сергеевич</t>
  </si>
  <si>
    <t xml:space="preserve">Нежута Иван Владимирович</t>
  </si>
  <si>
    <t xml:space="preserve">Бондаренко 
Дмитрий 
Андреевич</t>
  </si>
  <si>
    <t xml:space="preserve">Свидунович Александр Сергеевич</t>
  </si>
  <si>
    <t xml:space="preserve">Субботин Денис Олегович</t>
  </si>
  <si>
    <t xml:space="preserve">Чубаров Артем Витальевич</t>
  </si>
  <si>
    <t xml:space="preserve">Юрчиков Никита Сергеевич</t>
  </si>
  <si>
    <t xml:space="preserve">Отдел web-разработки</t>
  </si>
  <si>
    <t xml:space="preserve">Андросов Александр Юрьевич</t>
  </si>
  <si>
    <t xml:space="preserve">Баринов Алексей Николаевич</t>
  </si>
  <si>
    <t xml:space="preserve">Бубаев Джохар</t>
  </si>
  <si>
    <t xml:space="preserve">Баубина Евгения Александровна </t>
  </si>
  <si>
    <t xml:space="preserve">Мареев Роман Геннадьвеич</t>
  </si>
  <si>
    <t xml:space="preserve">Овчаренко Татьяна Викторовна</t>
  </si>
  <si>
    <t xml:space="preserve">Чесебиев Игорь Аскерович</t>
  </si>
  <si>
    <t xml:space="preserve">Щерба Юрий Владимирович</t>
  </si>
  <si>
    <t xml:space="preserve">Власова Юлия Станиславовна</t>
  </si>
  <si>
    <t xml:space="preserve">Ташиев Данияр Суйундукович</t>
  </si>
  <si>
    <t xml:space="preserve">Развитие Битрикс</t>
  </si>
  <si>
    <t xml:space="preserve">Сенюшкина Вера Викторовна</t>
  </si>
  <si>
    <t xml:space="preserve">Штаб </t>
  </si>
  <si>
    <t xml:space="preserve">Демонов Иван Владимирович</t>
  </si>
  <si>
    <t xml:space="preserve">Коробко Иван Викторович</t>
  </si>
  <si>
    <t xml:space="preserve">Никонов Евгений Дмитриевич</t>
  </si>
  <si>
    <t xml:space="preserve">Щепунова Ольга Андреевна </t>
  </si>
  <si>
    <t xml:space="preserve">Ильинский Максим </t>
  </si>
  <si>
    <t xml:space="preserve">Сорочан Виталий</t>
  </si>
  <si>
    <t xml:space="preserve">Тимошина Наталья </t>
  </si>
  <si>
    <t>BI</t>
  </si>
  <si>
    <t xml:space="preserve">Ондаулин Арсен </t>
  </si>
  <si>
    <t xml:space="preserve">Диалло Данила</t>
  </si>
  <si>
    <t xml:space="preserve">Дмитрий Абдусалямов</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</si>
</sst>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0" formatCode="dd/mm/yyyy"/>
  </numFmts>
  <fonts count="14">
    <font>
      <sz val="10.000000"/>
      <color theme="1"/>
      <name val="Liberation Sans"/>
    </font>
    <font>
      <sz val="11.000000"/>
      <color rgb="FF9C0006"/>
      <name val="Calibri"/>
      <scheme val="minor"/>
    </font>
    <font>
      <sz val="11.000000"/>
      <color rgb="FF006100"/>
      <name val="Calibri"/>
      <scheme val="minor"/>
    </font>
    <font>
      <b/>
      <sz val="10.000000"/>
      <color theme="1"/>
      <name val="Liberation Sans"/>
    </font>
    <font>
      <sz val="11.000000"/>
      <name val="Calibri"/>
    </font>
    <font>
      <b/>
      <sz val="11.000000"/>
      <name val="Calibri"/>
    </font>
    <font>
      <b/>
      <sz val="12.000000"/>
      <name val="Calibri"/>
    </font>
    <font>
      <sz val="12.000000"/>
      <name val="Calibri"/>
    </font>
    <font>
      <sz val="12.000000"/>
      <color rgb="FF9C0006"/>
      <name val="Calibri"/>
      <scheme val="minor"/>
    </font>
    <font>
      <sz val="10.500000"/>
      <color theme="1" tint="0"/>
      <name val="Liberation Sans"/>
    </font>
    <font>
      <sz val="12.000000"/>
      <color theme="1"/>
      <name val="Carlito"/>
    </font>
    <font>
      <sz val="11.000000"/>
      <name val="Asana"/>
    </font>
    <font>
      <sz val="11.000000"/>
      <color theme="1"/>
      <name val="Asana"/>
    </font>
    <font>
      <b val="0"/>
      <i val="0"/>
      <strike val="0"/>
      <u val="none"/>
      <sz val="11.000000"/>
      <name val="Asana"/>
    </font>
  </fonts>
  <fills count="7">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theme="0" tint="0"/>
        <bgColor theme="0" tint="0"/>
      </patternFill>
    </fill>
    <fill>
      <patternFill patternType="solid">
        <fgColor indexed="65"/>
        <bgColor indexed="65"/>
      </patternFill>
    </fill>
    <fill>
      <patternFill patternType="solid">
        <fgColor indexed="5"/>
        <bgColor indexed="5"/>
      </patternFill>
    </fill>
  </fills>
  <borders count="19">
    <border>
      <left style="none"/>
      <right style="none"/>
      <top style="none"/>
      <bottom style="none"/>
      <diagonal style="none"/>
    </border>
    <border>
      <left style="thin">
        <color rgb="FFCCCCCC"/>
      </left>
      <right style="thin">
        <color rgb="FFCCCCCC"/>
      </right>
      <top style="thin">
        <color rgb="FFCCCCCC"/>
      </top>
      <bottom style="thin">
        <color rgb="FFCCCCCC"/>
      </bottom>
      <diagonal style="none"/>
    </border>
    <border>
      <left style="thin">
        <color rgb="FFCCCCCC"/>
      </left>
      <right style="none"/>
      <top style="thin">
        <color rgb="FFCCCCCC"/>
      </top>
      <bottom style="thin">
        <color rgb="FFCCCCCC"/>
      </bottom>
      <diagonal style="none"/>
    </border>
    <border>
      <left style="none"/>
      <right style="thin">
        <color rgb="FFCCCCCC"/>
      </right>
      <top style="thin">
        <color rgb="FFCCCCCC"/>
      </top>
      <bottom style="thin">
        <color rgb="FFCCCCCC"/>
      </bottom>
      <diagonal style="none"/>
    </border>
    <border>
      <left style="none"/>
      <right style="none"/>
      <top style="thin">
        <color rgb="FFCCCCCC"/>
      </top>
      <bottom style="thin">
        <color rgb="FFCCCCCC"/>
      </bottom>
      <diagonal style="none"/>
    </border>
    <border>
      <left style="thin">
        <color rgb="FFCCCCCC"/>
      </left>
      <right style="thin">
        <color rgb="FFCCCCCC"/>
      </right>
      <top style="thin">
        <color rgb="FFCCCCCC"/>
      </top>
      <bottom style="thin">
        <color auto="1"/>
      </bottom>
      <diagonal style="none"/>
    </border>
    <border>
      <left style="thin">
        <color rgb="FFCCCCCC"/>
      </left>
      <right style="thin">
        <color auto="1"/>
      </right>
      <top style="thin">
        <color rgb="FFCCCCCC"/>
      </top>
      <bottom style="thin">
        <color rgb="FFCCCCCC"/>
      </bottom>
      <diagonal style="none"/>
    </border>
    <border>
      <left style="thin">
        <color rgb="FFCCCCCC"/>
      </left>
      <right style="none"/>
      <top style="thin">
        <color rgb="FFCCCCCC"/>
      </top>
      <bottom style="thin">
        <color auto="1"/>
      </bottom>
      <diagonal style="none"/>
    </border>
    <border>
      <left style="none"/>
      <right style="none"/>
      <top style="thin">
        <color rgb="FFCCCCCC"/>
      </top>
      <bottom style="thin">
        <color auto="1"/>
      </bottom>
      <diagonal style="none"/>
    </border>
    <border>
      <left style="none"/>
      <right style="thin">
        <color auto="1"/>
      </right>
      <top style="thin">
        <color rgb="FFCCCCCC"/>
      </top>
      <bottom style="thin">
        <color auto="1"/>
      </bottom>
      <diagonal style="none"/>
    </border>
    <border>
      <left style="thin">
        <color rgb="FFCCCCCC"/>
      </left>
      <right style="thin">
        <color rgb="FFCCCCCC"/>
      </right>
      <top style="thin">
        <color rgb="FFCCCCCC"/>
      </top>
      <bottom style="none"/>
      <diagonal style="none"/>
    </border>
    <border>
      <left style="thin">
        <color auto="1"/>
      </left>
      <right style="thin">
        <color auto="1"/>
      </right>
      <top style="thin">
        <color rgb="FFCCCCCC"/>
      </top>
      <bottom style="none"/>
      <diagonal style="none"/>
    </border>
    <border>
      <left style="thin">
        <color rgb="FFCCCCCC"/>
      </left>
      <right style="thin">
        <color auto="1"/>
      </right>
      <top style="thin">
        <color rgb="FFCCCCCC"/>
      </top>
      <bottom style="none"/>
      <diagonal style="none"/>
    </border>
    <border>
      <left style="thin">
        <color rgb="FFCCCCCC"/>
      </left>
      <right style="none"/>
      <top style="thin">
        <color rgb="FFCCCCCC"/>
      </top>
      <bottom style="none"/>
      <diagonal style="none"/>
    </border>
    <border>
      <left style="none"/>
      <right style="thin">
        <color auto="1"/>
      </right>
      <top style="thin">
        <color rgb="FFCCCCCC"/>
      </top>
      <bottom style="none"/>
      <diagonal style="none"/>
    </border>
    <border>
      <left style="none"/>
      <right style="none"/>
      <top style="thin">
        <color rgb="FFCCCCCC"/>
      </top>
      <bottom style="none"/>
      <diagonal style="none"/>
    </border>
    <border>
      <left style="thin">
        <color theme="1"/>
      </left>
      <right style="thin">
        <color theme="1"/>
      </right>
      <top style="thin">
        <color theme="1"/>
      </top>
      <bottom style="thin">
        <color theme="1"/>
      </bottom>
      <diagonal style="none"/>
    </border>
    <border>
      <left style="thin">
        <color auto="1"/>
      </left>
      <right style="thin">
        <color auto="1"/>
      </right>
      <top style="thin">
        <color auto="1"/>
      </top>
      <bottom style="thin">
        <color auto="1"/>
      </bottom>
      <diagonal style="none"/>
    </border>
    <border>
      <left style="thin">
        <color rgb="FFCCCCCC"/>
      </left>
      <right style="thin">
        <color auto="1"/>
      </right>
      <top style="thin">
        <color auto="1"/>
      </top>
      <bottom style="thin">
        <color auto="1"/>
      </bottom>
      <diagonal style="none"/>
    </border>
  </borders>
  <cellStyleXfs count="3">
    <xf fontId="0" fillId="0" borderId="0" numFmtId="0" applyNumberFormat="1" applyFont="1" applyFill="1" applyBorder="1"/>
    <xf fontId="1" fillId="2" borderId="0" numFmtId="0" applyNumberFormat="0" applyFont="1" applyFill="1" applyBorder="0"/>
    <xf fontId="2" fillId="3" borderId="0" numFmtId="0" applyNumberFormat="0" applyFont="1" applyFill="1" applyBorder="0"/>
  </cellStyleXfs>
  <cellXfs count="68">
    <xf fontId="0" fillId="0" borderId="0" numFmtId="0" xfId="0"/>
    <xf fontId="3" fillId="0" borderId="1" numFmtId="0" xfId="0" applyFont="1" applyBorder="1" applyAlignment="1">
      <alignment horizontal="left" vertical="center" wrapText="1"/>
    </xf>
    <xf fontId="4" fillId="0" borderId="1" numFmtId="0" xfId="0" applyFont="1" applyBorder="1" applyAlignment="1">
      <alignment horizontal="left" vertical="center" wrapText="1"/>
    </xf>
    <xf fontId="0" fillId="0" borderId="1" numFmtId="0" xfId="0" applyBorder="1" applyAlignment="1">
      <alignment horizontal="left" vertical="center" wrapText="1"/>
    </xf>
    <xf fontId="4" fillId="0" borderId="2" numFmtId="0" xfId="0" applyFont="1" applyBorder="1" applyAlignment="1">
      <alignment horizontal="left" vertical="center" wrapText="1"/>
    </xf>
    <xf fontId="4" fillId="0" borderId="3" numFmtId="0" xfId="0" applyFont="1" applyBorder="1" applyAlignment="1">
      <alignment horizontal="left" vertical="center" wrapText="1"/>
    </xf>
    <xf fontId="4" fillId="0" borderId="4" numFmtId="0" xfId="0" applyFont="1" applyBorder="1" applyAlignment="1">
      <alignment horizontal="left" vertical="center" wrapText="1"/>
    </xf>
    <xf fontId="0" fillId="0" borderId="5" numFmtId="0" xfId="0" applyBorder="1" applyAlignment="1">
      <alignment horizontal="left" vertical="center" wrapText="1"/>
    </xf>
    <xf fontId="0" fillId="0" borderId="6" numFmtId="0" xfId="0" applyBorder="1" applyAlignment="1">
      <alignment horizontal="left" vertical="center" wrapText="1"/>
    </xf>
    <xf fontId="5" fillId="0" borderId="7" numFmtId="0" xfId="0" applyFont="1" applyBorder="1" applyAlignment="1">
      <alignment horizontal="center" vertical="center" wrapText="1"/>
    </xf>
    <xf fontId="5" fillId="0" borderId="8" numFmtId="0" xfId="0" applyFont="1" applyBorder="1" applyAlignment="1">
      <alignment horizontal="center" vertical="center" wrapText="1"/>
    </xf>
    <xf fontId="5" fillId="0" borderId="9" numFmtId="0" xfId="0" applyFont="1" applyBorder="1" applyAlignment="1">
      <alignment horizontal="center" vertical="center" wrapText="1"/>
    </xf>
    <xf fontId="0" fillId="0" borderId="10" numFmtId="0" xfId="0" applyBorder="1" applyAlignment="1">
      <alignment horizontal="left" vertical="center" wrapText="1"/>
    </xf>
    <xf fontId="6" fillId="0" borderId="11" numFmtId="0" xfId="0" applyFont="1" applyBorder="1" applyAlignment="1">
      <alignment vertical="center" wrapText="1"/>
    </xf>
    <xf fontId="6" fillId="0" borderId="12" numFmtId="0" xfId="0" applyFont="1" applyBorder="1" applyAlignment="1">
      <alignment vertical="center" wrapText="1"/>
    </xf>
    <xf fontId="6" fillId="0" borderId="13" numFmtId="0" xfId="0" applyFont="1" applyBorder="1" applyAlignment="1">
      <alignment vertical="center" wrapText="1"/>
    </xf>
    <xf fontId="6" fillId="0" borderId="14" numFmtId="0" xfId="0" applyFont="1" applyBorder="1" applyAlignment="1">
      <alignment vertical="center" wrapText="1"/>
    </xf>
    <xf fontId="6" fillId="0" borderId="12" numFmtId="0" xfId="0" applyFont="1" applyBorder="1" applyAlignment="1">
      <alignment vertical="center"/>
    </xf>
    <xf fontId="7" fillId="0" borderId="12" numFmtId="160" xfId="0" applyNumberFormat="1" applyFont="1" applyBorder="1" applyAlignment="1">
      <alignment horizontal="center" vertical="center" wrapText="1"/>
    </xf>
    <xf fontId="7" fillId="0" borderId="14" numFmtId="160" xfId="0" applyNumberFormat="1" applyFont="1" applyBorder="1" applyAlignment="1">
      <alignment horizontal="center" vertical="center" wrapText="1"/>
    </xf>
    <xf fontId="7" fillId="0" borderId="9" numFmtId="1" xfId="0" applyNumberFormat="1" applyFont="1" applyBorder="1" applyAlignment="1">
      <alignment horizontal="center" vertical="center" wrapText="1"/>
    </xf>
    <xf fontId="6" fillId="0" borderId="15" numFmtId="0" xfId="0" applyFont="1" applyBorder="1" applyAlignment="1">
      <alignment vertical="center" wrapText="1"/>
    </xf>
    <xf fontId="8" fillId="2" borderId="9" numFmtId="1" xfId="1" applyNumberFormat="1" applyFont="1" applyFill="1" applyBorder="1" applyAlignment="1">
      <alignment horizontal="center" vertical="center" wrapText="1"/>
    </xf>
    <xf fontId="7" fillId="0" borderId="16" numFmtId="0" xfId="0" applyFont="1" applyBorder="1" applyAlignment="1">
      <alignment horizontal="center" vertical="center" wrapText="1"/>
    </xf>
    <xf fontId="7" fillId="0" borderId="16" numFmtId="160" xfId="0" applyNumberFormat="1" applyFont="1" applyBorder="1" applyAlignment="1">
      <alignment horizontal="center" vertical="center" wrapText="1"/>
    </xf>
    <xf fontId="7" fillId="0" borderId="16" numFmtId="1" xfId="0" applyNumberFormat="1" applyFont="1" applyBorder="1" applyAlignment="1">
      <alignment horizontal="center" vertical="center" wrapText="1"/>
    </xf>
    <xf fontId="7" fillId="0" borderId="16" numFmtId="160" xfId="0" applyNumberFormat="1" applyFont="1" applyBorder="1" applyAlignment="1">
      <alignment vertical="center" wrapText="1"/>
    </xf>
    <xf fontId="8" fillId="2" borderId="16" numFmtId="1" xfId="1" applyNumberFormat="1" applyFont="1" applyFill="1" applyBorder="1" applyAlignment="1">
      <alignment horizontal="center" vertical="center" wrapText="1"/>
    </xf>
    <xf fontId="7" fillId="4" borderId="16" numFmtId="0" xfId="0" applyFont="1" applyFill="1" applyBorder="1" applyAlignment="1">
      <alignment horizontal="center" vertical="center" wrapText="1"/>
    </xf>
    <xf fontId="7" fillId="0" borderId="0" numFmtId="160" xfId="0" applyNumberFormat="1" applyFont="1" applyAlignment="1">
      <alignment horizontal="center" vertical="center" wrapText="1"/>
    </xf>
    <xf fontId="0" fillId="4" borderId="0" numFmtId="0" xfId="0" applyFill="1"/>
    <xf fontId="7" fillId="4" borderId="16" numFmtId="160" xfId="0" applyNumberFormat="1" applyFont="1" applyFill="1" applyBorder="1" applyAlignment="1">
      <alignment horizontal="center" vertical="center" wrapText="1"/>
    </xf>
    <xf fontId="7" fillId="4" borderId="16" numFmtId="1" xfId="0" applyNumberFormat="1" applyFont="1" applyFill="1" applyBorder="1" applyAlignment="1">
      <alignment horizontal="center" vertical="center" wrapText="1"/>
    </xf>
    <xf fontId="6" fillId="4" borderId="16" numFmtId="160" xfId="0" applyNumberFormat="1" applyFont="1" applyFill="1" applyBorder="1" applyAlignment="1">
      <alignment vertical="center" wrapText="1"/>
    </xf>
    <xf fontId="8" fillId="4" borderId="16" numFmtId="1" xfId="1" applyNumberFormat="1" applyFont="1" applyFill="1" applyBorder="1" applyAlignment="1">
      <alignment horizontal="center" vertical="center" wrapText="1"/>
    </xf>
    <xf fontId="6" fillId="0" borderId="16" numFmtId="160" xfId="0" applyNumberFormat="1" applyFont="1" applyBorder="1" applyAlignment="1">
      <alignment vertical="center" wrapText="1"/>
    </xf>
    <xf fontId="0" fillId="0" borderId="0" numFmtId="160" xfId="0" applyNumberFormat="1" applyAlignment="1">
      <alignment horizontal="center" vertical="center"/>
    </xf>
    <xf fontId="7" fillId="5" borderId="16" numFmtId="0" xfId="0" applyFont="1" applyFill="1" applyBorder="1" applyAlignment="1">
      <alignment horizontal="center" vertical="center" wrapText="1"/>
    </xf>
    <xf fontId="7" fillId="4" borderId="0" numFmtId="160" xfId="0" applyNumberFormat="1" applyFont="1" applyFill="1" applyAlignment="1">
      <alignment horizontal="center" vertical="center" wrapText="1"/>
    </xf>
    <xf fontId="7" fillId="4" borderId="0" numFmtId="1" xfId="0" applyNumberFormat="1" applyFont="1" applyFill="1" applyAlignment="1">
      <alignment horizontal="center" vertical="center" wrapText="1"/>
    </xf>
    <xf fontId="8" fillId="0" borderId="16" numFmtId="1" xfId="1" applyNumberFormat="1" applyFont="1" applyBorder="1" applyAlignment="1">
      <alignment horizontal="center" vertical="center" wrapText="1"/>
    </xf>
    <xf fontId="6" fillId="4" borderId="16" numFmtId="0" xfId="0" applyFont="1" applyFill="1" applyBorder="1" applyAlignment="1">
      <alignment vertical="center" wrapText="1"/>
    </xf>
    <xf fontId="6" fillId="4" borderId="0" numFmtId="160" xfId="0" applyNumberFormat="1" applyFont="1" applyFill="1" applyAlignment="1">
      <alignment vertical="center" wrapText="1"/>
    </xf>
    <xf fontId="7" fillId="4" borderId="16" numFmtId="160" xfId="0" applyNumberFormat="1" applyFont="1" applyFill="1" applyBorder="1" applyAlignment="1">
      <alignment vertical="center" wrapText="1"/>
    </xf>
    <xf fontId="9" fillId="4" borderId="16" numFmtId="160" xfId="0" applyNumberFormat="1" applyFont="1" applyFill="1" applyBorder="1" applyAlignment="1">
      <alignment horizontal="left" vertical="center" wrapText="1"/>
    </xf>
    <xf fontId="6" fillId="4" borderId="16" numFmtId="16" xfId="0" applyNumberFormat="1" applyFont="1" applyFill="1" applyBorder="1" applyAlignment="1">
      <alignment vertical="center" wrapText="1"/>
    </xf>
    <xf fontId="10" fillId="4" borderId="0" numFmtId="160" xfId="0" applyNumberFormat="1" applyFont="1" applyFill="1" applyAlignment="1">
      <alignment horizontal="left" vertical="center" wrapText="1"/>
    </xf>
    <xf fontId="7" fillId="4" borderId="0" numFmtId="160" xfId="0" applyNumberFormat="1" applyFont="1" applyFill="1" applyAlignment="1">
      <alignment vertical="center" wrapText="1"/>
    </xf>
    <xf fontId="7" fillId="4" borderId="16" numFmtId="0" xfId="0" applyFont="1" applyFill="1" applyBorder="1" applyAlignment="1">
      <alignment vertical="center" wrapText="1"/>
    </xf>
    <xf fontId="11" fillId="4" borderId="16" numFmtId="160" xfId="0" applyNumberFormat="1" applyFont="1" applyFill="1" applyBorder="1" applyAlignment="1">
      <alignment horizontal="center" vertical="center" wrapText="1"/>
    </xf>
    <xf fontId="11" fillId="4" borderId="16" numFmtId="1" xfId="0" applyNumberFormat="1" applyFont="1" applyFill="1" applyBorder="1" applyAlignment="1">
      <alignment horizontal="center" vertical="center" wrapText="1"/>
    </xf>
    <xf fontId="11" fillId="4" borderId="16" numFmtId="160" xfId="0" applyNumberFormat="1" applyFont="1" applyFill="1" applyBorder="1" applyAlignment="1">
      <alignment vertical="center" wrapText="1"/>
    </xf>
    <xf fontId="0" fillId="6" borderId="0" numFmtId="0" xfId="0" applyFill="1"/>
    <xf fontId="7" fillId="6" borderId="16" numFmtId="0" xfId="0" applyFont="1" applyFill="1" applyBorder="1" applyAlignment="1">
      <alignment horizontal="center" vertical="center" wrapText="1"/>
    </xf>
    <xf fontId="7" fillId="6" borderId="16" numFmtId="160" xfId="0" applyNumberFormat="1" applyFont="1" applyFill="1" applyBorder="1" applyAlignment="1">
      <alignment horizontal="center" vertical="center" wrapText="1"/>
    </xf>
    <xf fontId="7" fillId="6" borderId="16" numFmtId="1" xfId="0" applyNumberFormat="1" applyFont="1" applyFill="1" applyBorder="1" applyAlignment="1">
      <alignment horizontal="center" vertical="center" wrapText="1"/>
    </xf>
    <xf fontId="6" fillId="6" borderId="16" numFmtId="160" xfId="0" applyNumberFormat="1" applyFont="1" applyFill="1" applyBorder="1" applyAlignment="1">
      <alignment vertical="center" wrapText="1"/>
    </xf>
    <xf fontId="6" fillId="6" borderId="16" numFmtId="16" xfId="0" applyNumberFormat="1" applyFont="1" applyFill="1" applyBorder="1" applyAlignment="1">
      <alignment vertical="center" wrapText="1"/>
    </xf>
    <xf fontId="8" fillId="6" borderId="16" numFmtId="1" xfId="1" applyNumberFormat="1" applyFont="1" applyFill="1" applyBorder="1" applyAlignment="1">
      <alignment horizontal="center" vertical="center" wrapText="1"/>
    </xf>
    <xf fontId="7" fillId="0" borderId="17" numFmtId="160" xfId="0" applyNumberFormat="1" applyFont="1" applyBorder="1" applyAlignment="1">
      <alignment horizontal="center" vertical="center" wrapText="1"/>
    </xf>
    <xf fontId="7" fillId="0" borderId="18" numFmtId="160" xfId="0" applyNumberFormat="1" applyFont="1" applyBorder="1" applyAlignment="1">
      <alignment horizontal="center" vertical="center" wrapText="1"/>
    </xf>
    <xf fontId="6" fillId="4" borderId="16" numFmtId="160" xfId="0" applyNumberFormat="1" applyFont="1" applyFill="1" applyBorder="1" applyAlignment="1">
      <alignment horizontal="center" vertical="center" wrapText="1"/>
    </xf>
    <xf fontId="0" fillId="4" borderId="16" numFmtId="0" xfId="0" applyFill="1" applyBorder="1"/>
    <xf fontId="12" fillId="4" borderId="16" numFmtId="0" xfId="0" applyFont="1" applyFill="1" applyBorder="1" applyAlignment="1">
      <alignment wrapText="1"/>
    </xf>
    <xf fontId="13" fillId="4" borderId="16" numFmtId="0" xfId="0" applyFont="1" applyFill="1" applyBorder="1" applyAlignment="1">
      <alignment horizontal="left" wrapText="1"/>
    </xf>
    <xf fontId="13" fillId="0" borderId="16" numFmtId="0" xfId="0" applyFont="1" applyBorder="1" applyAlignment="1">
      <alignment horizontal="left" wrapText="1"/>
    </xf>
    <xf fontId="6" fillId="0" borderId="16" numFmtId="0" xfId="0" applyFont="1" applyBorder="1" applyAlignment="1">
      <alignment vertical="center" wrapText="1"/>
    </xf>
    <xf fontId="0" fillId="0" borderId="16" numFmtId="0" xfId="0" applyBorder="1"/>
  </cellXfs>
  <cellStyles count="3">
    <cellStyle name="Обычный" xfId="0" builtinId="0"/>
    <cellStyle name="Bad" xfId="1" builtinId="27"/>
    <cellStyle name="Good"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1" topLeftCell="A12" activePane="bottomLeft" state="frozen"/>
      <selection activeCell="A1" activeCellId="0" sqref="A1"/>
    </sheetView>
  </sheetViews>
  <sheetFormatPr baseColWidth="10" defaultColWidth="10.5" defaultRowHeight="12.75"/>
  <cols>
    <col customWidth="1" min="2" max="2" width="13.00390625"/>
    <col customWidth="1" min="3" max="3" width="12.8515625"/>
    <col customWidth="1" min="4" max="4" width="12.00390625"/>
    <col customWidth="1" min="6" max="6" width="11.7109375"/>
    <col customWidth="1" min="7" max="7" width="13.57421875"/>
    <col customWidth="1" min="9" max="9" width="11.57421875"/>
    <col customWidth="1" min="10" max="10" width="13.140625"/>
  </cols>
  <sheetData>
    <row r="1" ht="14.25">
      <c r="A1" s="1"/>
      <c r="B1" s="2" t="s">
        <v>0</v>
      </c>
      <c r="C1" s="2">
        <v>7</v>
      </c>
      <c r="D1" s="3"/>
      <c r="E1" s="3"/>
      <c r="F1" s="3"/>
      <c r="G1" s="3">
        <v>0</v>
      </c>
      <c r="H1" s="3"/>
      <c r="I1" s="3"/>
      <c r="J1" s="3"/>
      <c r="K1" s="3"/>
      <c r="L1" s="3"/>
    </row>
    <row r="2" ht="14.25">
      <c r="A2" s="3"/>
      <c r="B2" s="3"/>
      <c r="C2" s="2">
        <v>7</v>
      </c>
      <c r="D2" s="3"/>
      <c r="E2" s="3"/>
      <c r="F2" s="3"/>
      <c r="G2" s="3">
        <v>7</v>
      </c>
      <c r="H2" s="3"/>
      <c r="I2" s="3"/>
      <c r="J2" s="3"/>
      <c r="K2" s="3"/>
      <c r="L2" s="3"/>
    </row>
    <row r="3" ht="14.25">
      <c r="A3" s="3"/>
      <c r="B3" s="3"/>
      <c r="C3" s="2">
        <v>14</v>
      </c>
      <c r="D3" s="3"/>
      <c r="E3" s="3"/>
      <c r="F3" s="3"/>
      <c r="G3" s="3">
        <v>14</v>
      </c>
      <c r="H3" s="3"/>
      <c r="I3" s="3"/>
      <c r="J3" s="3"/>
      <c r="K3" s="3"/>
      <c r="L3" s="3"/>
    </row>
    <row r="4" ht="25.5" customHeight="1">
      <c r="A4" s="3"/>
      <c r="B4" s="4" t="s">
        <v>1</v>
      </c>
      <c r="C4" s="5"/>
      <c r="D4" s="3"/>
      <c r="E4" s="3"/>
      <c r="F4" s="3"/>
      <c r="G4" s="3"/>
      <c r="H4" s="3"/>
      <c r="I4" s="3"/>
      <c r="J4" s="3"/>
      <c r="K4" s="3"/>
      <c r="L4" s="3"/>
    </row>
    <row r="5" ht="22.5" customHeight="1">
      <c r="A5" s="3"/>
      <c r="B5" s="4" t="s">
        <v>2</v>
      </c>
      <c r="C5" s="6"/>
      <c r="D5" s="6"/>
      <c r="E5" s="6"/>
      <c r="F5" s="6"/>
      <c r="G5" s="5"/>
      <c r="H5" s="3"/>
      <c r="I5" s="3"/>
      <c r="J5" s="3"/>
      <c r="K5" s="3"/>
      <c r="L5" s="3"/>
    </row>
    <row r="6" ht="31.5" customHeight="1">
      <c r="A6" s="3"/>
      <c r="B6" s="4" t="s">
        <v>3</v>
      </c>
      <c r="C6" s="6"/>
      <c r="D6" s="6"/>
      <c r="E6" s="6"/>
      <c r="F6" s="5"/>
      <c r="G6" s="3"/>
      <c r="H6" s="3"/>
      <c r="I6" s="3"/>
      <c r="J6" s="3"/>
      <c r="K6" s="3"/>
      <c r="L6" s="3"/>
    </row>
    <row r="7" ht="26.25" customHeight="1">
      <c r="A7" s="3"/>
      <c r="B7" s="4" t="s">
        <v>4</v>
      </c>
      <c r="C7" s="6"/>
      <c r="D7" s="6"/>
      <c r="E7" s="6"/>
      <c r="F7" s="5"/>
      <c r="G7" s="3"/>
      <c r="H7" s="3"/>
      <c r="I7" s="3"/>
      <c r="J7" s="3"/>
      <c r="K7" s="3"/>
      <c r="L7" s="3"/>
    </row>
    <row r="8" ht="12.75">
      <c r="A8" s="3"/>
      <c r="B8" s="3"/>
      <c r="C8" s="7"/>
      <c r="D8" s="7"/>
      <c r="E8" s="7"/>
      <c r="F8" s="7"/>
      <c r="G8" s="7"/>
      <c r="H8" s="7"/>
      <c r="I8" s="7"/>
      <c r="J8" s="7"/>
      <c r="K8" s="7"/>
      <c r="L8" s="3"/>
    </row>
    <row r="9" ht="12.75">
      <c r="A9" s="3"/>
      <c r="B9" s="8"/>
      <c r="C9" s="9" t="s">
        <v>5</v>
      </c>
      <c r="D9" s="10"/>
      <c r="E9" s="11"/>
      <c r="F9" s="9" t="s">
        <v>6</v>
      </c>
      <c r="G9" s="10"/>
      <c r="H9" s="11"/>
      <c r="I9" s="9" t="s">
        <v>7</v>
      </c>
      <c r="J9" s="10"/>
      <c r="K9" s="11"/>
      <c r="L9" s="3"/>
    </row>
    <row r="10" ht="12.75">
      <c r="A10" s="7"/>
      <c r="B10" s="7"/>
      <c r="C10" s="7"/>
      <c r="D10" s="12"/>
      <c r="E10" s="7"/>
      <c r="F10" s="7"/>
      <c r="G10" s="7"/>
      <c r="H10" s="7"/>
      <c r="I10" s="7"/>
      <c r="J10" s="7"/>
      <c r="K10" s="7"/>
      <c r="L10" s="7"/>
    </row>
    <row r="11" ht="66">
      <c r="A11" s="13" t="s">
        <v>8</v>
      </c>
      <c r="B11" s="14" t="s">
        <v>9</v>
      </c>
      <c r="C11" s="15" t="s">
        <v>10</v>
      </c>
      <c r="D11" s="14" t="s">
        <v>11</v>
      </c>
      <c r="E11" s="16" t="s">
        <v>12</v>
      </c>
      <c r="F11" s="14" t="s">
        <v>13</v>
      </c>
      <c r="G11" s="14" t="s">
        <v>11</v>
      </c>
      <c r="H11" s="14" t="s">
        <v>14</v>
      </c>
      <c r="I11" s="14" t="s">
        <v>13</v>
      </c>
      <c r="J11" s="14" t="s">
        <v>11</v>
      </c>
      <c r="K11" s="17" t="s">
        <v>14</v>
      </c>
      <c r="L11" s="14" t="s">
        <v>15</v>
      </c>
    </row>
    <row r="12" ht="16.5">
      <c r="A12" s="13" t="s">
        <v>16</v>
      </c>
      <c r="B12" s="15" t="s">
        <v>17</v>
      </c>
      <c r="C12" s="18"/>
      <c r="D12" s="19" t="e">
        <f t="shared" ref="D12:D75" si="0">C12+E12-1</f>
        <v>#VALUE!</v>
      </c>
      <c r="E12" s="20" t="s">
        <v>18</v>
      </c>
      <c r="F12" s="21"/>
      <c r="G12" s="18" t="e">
        <f t="shared" ref="G12:G75" si="1">F12+H12-1</f>
        <v>#VALUE!</v>
      </c>
      <c r="H12" s="20" t="s">
        <v>18</v>
      </c>
      <c r="I12" s="21"/>
      <c r="J12" s="18" t="e">
        <f t="shared" ref="J12:J75" si="2">I12+K12-1</f>
        <v>#VALUE!</v>
      </c>
      <c r="K12" s="20" t="s">
        <v>18</v>
      </c>
      <c r="L12" s="22" t="e">
        <f t="shared" ref="L12:L75" si="3">SUM(E12+H12+K12)</f>
        <v>#VALUE!</v>
      </c>
    </row>
    <row r="13" ht="49.5">
      <c r="A13" s="23" t="s">
        <v>19</v>
      </c>
      <c r="B13" s="23" t="s">
        <v>20</v>
      </c>
      <c r="C13" s="24">
        <v>46160</v>
      </c>
      <c r="D13" s="24">
        <f t="shared" si="0"/>
        <v>46166</v>
      </c>
      <c r="E13" s="25">
        <v>7</v>
      </c>
      <c r="F13" s="26">
        <v>46230</v>
      </c>
      <c r="G13" s="24">
        <f t="shared" si="1"/>
        <v>46236</v>
      </c>
      <c r="H13" s="25">
        <v>7</v>
      </c>
      <c r="I13" s="26">
        <v>46328</v>
      </c>
      <c r="J13" s="24">
        <f t="shared" si="2"/>
        <v>46341</v>
      </c>
      <c r="K13" s="25">
        <v>14</v>
      </c>
      <c r="L13" s="27">
        <f t="shared" si="3"/>
        <v>28</v>
      </c>
    </row>
    <row r="14" ht="49.5">
      <c r="A14" s="23" t="s">
        <v>19</v>
      </c>
      <c r="B14" s="23" t="s">
        <v>21</v>
      </c>
      <c r="C14" s="24">
        <v>46153</v>
      </c>
      <c r="D14" s="24">
        <f t="shared" si="0"/>
        <v>46159</v>
      </c>
      <c r="E14" s="25">
        <v>7</v>
      </c>
      <c r="F14" s="26">
        <v>46223</v>
      </c>
      <c r="G14" s="24">
        <f t="shared" si="1"/>
        <v>46236</v>
      </c>
      <c r="H14" s="25">
        <v>14</v>
      </c>
      <c r="I14" s="26">
        <v>46307</v>
      </c>
      <c r="J14" s="24">
        <f t="shared" si="2"/>
        <v>46313</v>
      </c>
      <c r="K14" s="25">
        <v>7</v>
      </c>
      <c r="L14" s="27">
        <f t="shared" si="3"/>
        <v>28</v>
      </c>
    </row>
    <row r="15" ht="66">
      <c r="A15" s="23" t="s">
        <v>22</v>
      </c>
      <c r="B15" s="28" t="s">
        <v>23</v>
      </c>
      <c r="C15" s="24">
        <v>46237</v>
      </c>
      <c r="D15" s="24">
        <f t="shared" si="0"/>
        <v>46250</v>
      </c>
      <c r="E15" s="25">
        <v>14</v>
      </c>
      <c r="F15" s="26">
        <v>46188</v>
      </c>
      <c r="G15" s="24">
        <f t="shared" si="1"/>
        <v>46194</v>
      </c>
      <c r="H15" s="25">
        <v>7</v>
      </c>
      <c r="I15" s="26">
        <v>46321</v>
      </c>
      <c r="J15" s="24">
        <f t="shared" si="2"/>
        <v>46327</v>
      </c>
      <c r="K15" s="25">
        <v>7</v>
      </c>
      <c r="L15" s="27">
        <f t="shared" si="3"/>
        <v>28</v>
      </c>
    </row>
    <row r="16" ht="49.5">
      <c r="A16" s="23" t="s">
        <v>22</v>
      </c>
      <c r="B16" s="28" t="s">
        <v>24</v>
      </c>
      <c r="C16" s="24">
        <v>46204</v>
      </c>
      <c r="D16" s="24">
        <f t="shared" si="0"/>
        <v>46217</v>
      </c>
      <c r="E16" s="25">
        <v>14</v>
      </c>
      <c r="F16" s="26">
        <v>46136</v>
      </c>
      <c r="G16" s="24">
        <f t="shared" si="1"/>
        <v>46142</v>
      </c>
      <c r="H16" s="25">
        <v>7</v>
      </c>
      <c r="I16" s="26">
        <v>46380</v>
      </c>
      <c r="J16" s="24">
        <f t="shared" si="2"/>
        <v>46386</v>
      </c>
      <c r="K16" s="25">
        <v>7</v>
      </c>
      <c r="L16" s="27">
        <f t="shared" si="3"/>
        <v>28</v>
      </c>
    </row>
    <row r="17" ht="66">
      <c r="A17" s="23" t="s">
        <v>22</v>
      </c>
      <c r="B17" s="28" t="s">
        <v>25</v>
      </c>
      <c r="C17" s="24">
        <v>46104</v>
      </c>
      <c r="D17" s="24">
        <f t="shared" si="0"/>
        <v>46110</v>
      </c>
      <c r="E17" s="25">
        <v>7</v>
      </c>
      <c r="F17" s="29">
        <v>46223</v>
      </c>
      <c r="G17" s="24">
        <f t="shared" si="1"/>
        <v>46236</v>
      </c>
      <c r="H17" s="25">
        <v>14</v>
      </c>
      <c r="I17" s="26">
        <v>46279</v>
      </c>
      <c r="J17" s="24">
        <f t="shared" si="2"/>
        <v>46285</v>
      </c>
      <c r="K17" s="25">
        <v>7</v>
      </c>
      <c r="L17" s="27">
        <f t="shared" si="3"/>
        <v>28</v>
      </c>
    </row>
    <row r="18" s="30" customFormat="1" ht="49.5">
      <c r="A18" s="28" t="s">
        <v>22</v>
      </c>
      <c r="B18" s="28" t="s">
        <v>26</v>
      </c>
      <c r="C18" s="31">
        <v>46139</v>
      </c>
      <c r="D18" s="31">
        <f t="shared" si="0"/>
        <v>46145</v>
      </c>
      <c r="E18" s="32">
        <v>7</v>
      </c>
      <c r="F18" s="33">
        <v>46181</v>
      </c>
      <c r="G18" s="31">
        <f t="shared" si="1"/>
        <v>46194</v>
      </c>
      <c r="H18" s="32">
        <v>14</v>
      </c>
      <c r="I18" s="33">
        <v>46244</v>
      </c>
      <c r="J18" s="31">
        <f t="shared" si="2"/>
        <v>46250</v>
      </c>
      <c r="K18" s="32">
        <v>7</v>
      </c>
      <c r="L18" s="34">
        <f t="shared" si="3"/>
        <v>28</v>
      </c>
    </row>
    <row r="19" ht="99">
      <c r="A19" s="23" t="s">
        <v>27</v>
      </c>
      <c r="B19" s="23" t="s">
        <v>28</v>
      </c>
      <c r="C19" s="29">
        <v>46089</v>
      </c>
      <c r="D19" s="24">
        <v>46095</v>
      </c>
      <c r="E19" s="25">
        <v>7</v>
      </c>
      <c r="F19" s="35">
        <v>46181</v>
      </c>
      <c r="G19" s="29">
        <v>46187</v>
      </c>
      <c r="H19" s="25">
        <v>7</v>
      </c>
      <c r="I19" s="29">
        <v>46310</v>
      </c>
      <c r="J19" s="24">
        <v>46323</v>
      </c>
      <c r="K19" s="25">
        <v>14</v>
      </c>
      <c r="L19" s="27">
        <f t="shared" si="3"/>
        <v>28</v>
      </c>
    </row>
    <row r="20" ht="99">
      <c r="A20" s="23" t="s">
        <v>27</v>
      </c>
      <c r="B20" s="28" t="s">
        <v>29</v>
      </c>
      <c r="C20" s="24">
        <v>46082</v>
      </c>
      <c r="D20" s="24">
        <v>46088</v>
      </c>
      <c r="E20" s="25">
        <v>7</v>
      </c>
      <c r="F20" s="24">
        <v>46174</v>
      </c>
      <c r="G20" s="24">
        <v>46180</v>
      </c>
      <c r="H20" s="25">
        <v>7</v>
      </c>
      <c r="I20" s="24">
        <v>46296</v>
      </c>
      <c r="J20" s="24">
        <v>46309</v>
      </c>
      <c r="K20" s="25">
        <v>14</v>
      </c>
      <c r="L20" s="27">
        <f t="shared" si="3"/>
        <v>28</v>
      </c>
    </row>
    <row r="21" ht="66">
      <c r="A21" s="23" t="s">
        <v>30</v>
      </c>
      <c r="B21" s="23" t="s">
        <v>31</v>
      </c>
      <c r="C21" s="24">
        <v>46091</v>
      </c>
      <c r="D21" s="24">
        <f t="shared" si="0"/>
        <v>46097</v>
      </c>
      <c r="E21" s="25">
        <v>7</v>
      </c>
      <c r="F21" s="35">
        <v>46223</v>
      </c>
      <c r="G21" s="24">
        <f t="shared" si="1"/>
        <v>46236</v>
      </c>
      <c r="H21" s="25">
        <v>14</v>
      </c>
      <c r="I21" s="35">
        <v>46335</v>
      </c>
      <c r="J21" s="24">
        <f t="shared" si="2"/>
        <v>46341</v>
      </c>
      <c r="K21" s="25">
        <v>7</v>
      </c>
      <c r="L21" s="27">
        <f t="shared" si="3"/>
        <v>28</v>
      </c>
    </row>
    <row r="22" s="30" customFormat="1" ht="66">
      <c r="A22" s="28" t="s">
        <v>30</v>
      </c>
      <c r="B22" s="28" t="s">
        <v>32</v>
      </c>
      <c r="C22" s="31">
        <v>46062</v>
      </c>
      <c r="D22" s="31">
        <v>46068</v>
      </c>
      <c r="E22" s="32">
        <v>7</v>
      </c>
      <c r="F22" s="33">
        <v>46209</v>
      </c>
      <c r="G22" s="31">
        <f t="shared" si="1"/>
        <v>46222</v>
      </c>
      <c r="H22" s="32">
        <v>14</v>
      </c>
      <c r="I22" s="33">
        <v>46286</v>
      </c>
      <c r="J22" s="31">
        <f t="shared" si="2"/>
        <v>46292</v>
      </c>
      <c r="K22" s="32">
        <v>7</v>
      </c>
      <c r="L22" s="34">
        <f t="shared" si="3"/>
        <v>28</v>
      </c>
    </row>
    <row r="23" ht="66">
      <c r="A23" s="23" t="s">
        <v>30</v>
      </c>
      <c r="B23" s="23" t="s">
        <v>33</v>
      </c>
      <c r="C23" s="36">
        <v>46174</v>
      </c>
      <c r="D23" s="24">
        <f t="shared" si="0"/>
        <v>46180</v>
      </c>
      <c r="E23" s="25">
        <v>7</v>
      </c>
      <c r="F23" s="24">
        <v>46258</v>
      </c>
      <c r="G23" s="29">
        <f t="shared" si="1"/>
        <v>46271</v>
      </c>
      <c r="H23" s="25">
        <v>14</v>
      </c>
      <c r="I23" s="35">
        <v>46380</v>
      </c>
      <c r="J23" s="24">
        <f t="shared" si="2"/>
        <v>46386</v>
      </c>
      <c r="K23" s="25">
        <v>7</v>
      </c>
      <c r="L23" s="27">
        <f t="shared" si="3"/>
        <v>28</v>
      </c>
    </row>
    <row r="24" ht="66">
      <c r="A24" s="37" t="s">
        <v>30</v>
      </c>
      <c r="B24" s="37" t="s">
        <v>34</v>
      </c>
      <c r="C24" s="24">
        <v>46125</v>
      </c>
      <c r="D24" s="24">
        <v>46131</v>
      </c>
      <c r="E24" s="25">
        <v>7</v>
      </c>
      <c r="F24" s="35">
        <v>46209</v>
      </c>
      <c r="G24" s="24">
        <f t="shared" si="1"/>
        <v>46222</v>
      </c>
      <c r="H24" s="25">
        <v>14</v>
      </c>
      <c r="I24" s="35">
        <v>46342</v>
      </c>
      <c r="J24" s="24">
        <f t="shared" si="2"/>
        <v>46348</v>
      </c>
      <c r="K24" s="25">
        <v>7</v>
      </c>
      <c r="L24" s="27">
        <f t="shared" si="3"/>
        <v>28</v>
      </c>
    </row>
    <row r="25" ht="82.5">
      <c r="A25" s="23" t="s">
        <v>35</v>
      </c>
      <c r="B25" s="23" t="s">
        <v>36</v>
      </c>
      <c r="C25" s="24">
        <v>46167</v>
      </c>
      <c r="D25" s="24">
        <f t="shared" si="0"/>
        <v>46173</v>
      </c>
      <c r="E25" s="25">
        <v>7</v>
      </c>
      <c r="F25" s="35">
        <v>46209</v>
      </c>
      <c r="G25" s="24">
        <f t="shared" si="1"/>
        <v>46222</v>
      </c>
      <c r="H25" s="25">
        <v>14</v>
      </c>
      <c r="I25" s="35">
        <v>46321</v>
      </c>
      <c r="J25" s="24">
        <v>46327</v>
      </c>
      <c r="K25" s="25">
        <v>7</v>
      </c>
      <c r="L25" s="27">
        <f t="shared" si="3"/>
        <v>28</v>
      </c>
    </row>
    <row r="26" ht="66">
      <c r="A26" s="23" t="s">
        <v>35</v>
      </c>
      <c r="B26" s="23" t="s">
        <v>37</v>
      </c>
      <c r="C26" s="24">
        <v>46125</v>
      </c>
      <c r="D26" s="24">
        <v>46131</v>
      </c>
      <c r="E26" s="25">
        <v>7</v>
      </c>
      <c r="F26" s="35">
        <v>46251</v>
      </c>
      <c r="G26" s="24">
        <v>46264</v>
      </c>
      <c r="H26" s="25">
        <v>14</v>
      </c>
      <c r="I26" s="35">
        <v>46377</v>
      </c>
      <c r="J26" s="24">
        <v>46383</v>
      </c>
      <c r="K26" s="25">
        <v>7</v>
      </c>
      <c r="L26" s="27">
        <f t="shared" si="3"/>
        <v>28</v>
      </c>
    </row>
    <row r="27" ht="49.5">
      <c r="A27" s="23" t="s">
        <v>35</v>
      </c>
      <c r="B27" s="23" t="s">
        <v>38</v>
      </c>
      <c r="C27" s="24">
        <v>46111</v>
      </c>
      <c r="D27" s="24">
        <f t="shared" si="0"/>
        <v>46117</v>
      </c>
      <c r="E27" s="25">
        <v>7</v>
      </c>
      <c r="F27" s="35">
        <v>46174</v>
      </c>
      <c r="G27" s="24">
        <f t="shared" si="1"/>
        <v>46187</v>
      </c>
      <c r="H27" s="25">
        <v>14</v>
      </c>
      <c r="I27" s="35">
        <v>46265</v>
      </c>
      <c r="J27" s="24">
        <f t="shared" si="2"/>
        <v>46271</v>
      </c>
      <c r="K27" s="25">
        <v>7</v>
      </c>
      <c r="L27" s="27">
        <f t="shared" si="3"/>
        <v>28</v>
      </c>
    </row>
    <row r="28" ht="49.5">
      <c r="A28" s="23" t="s">
        <v>35</v>
      </c>
      <c r="B28" s="23" t="s">
        <v>39</v>
      </c>
      <c r="C28" s="24">
        <v>46188</v>
      </c>
      <c r="D28" s="24">
        <f t="shared" si="0"/>
        <v>46194</v>
      </c>
      <c r="E28" s="25">
        <v>7</v>
      </c>
      <c r="F28" s="35">
        <v>46237</v>
      </c>
      <c r="G28" s="24">
        <f t="shared" si="1"/>
        <v>46250</v>
      </c>
      <c r="H28" s="25">
        <v>14</v>
      </c>
      <c r="I28" s="35">
        <v>46348</v>
      </c>
      <c r="J28" s="24">
        <f t="shared" si="2"/>
        <v>46354</v>
      </c>
      <c r="K28" s="25">
        <v>7</v>
      </c>
      <c r="L28" s="27">
        <f t="shared" si="3"/>
        <v>28</v>
      </c>
    </row>
    <row r="29" s="30" customFormat="1" ht="49.5">
      <c r="A29" s="28" t="s">
        <v>35</v>
      </c>
      <c r="B29" s="28" t="s">
        <v>40</v>
      </c>
      <c r="C29" s="31">
        <v>46091</v>
      </c>
      <c r="D29" s="31">
        <f t="shared" si="0"/>
        <v>46097</v>
      </c>
      <c r="E29" s="32">
        <v>7</v>
      </c>
      <c r="F29" s="38">
        <v>46205</v>
      </c>
      <c r="G29" s="31">
        <f t="shared" si="1"/>
        <v>46218</v>
      </c>
      <c r="H29" s="39">
        <v>14</v>
      </c>
      <c r="I29" s="33">
        <v>46302</v>
      </c>
      <c r="J29" s="31">
        <f t="shared" si="2"/>
        <v>46308</v>
      </c>
      <c r="K29" s="32">
        <v>7</v>
      </c>
      <c r="L29" s="34">
        <f t="shared" si="3"/>
        <v>28</v>
      </c>
    </row>
    <row r="30" ht="49.5">
      <c r="A30" s="37" t="s">
        <v>35</v>
      </c>
      <c r="B30" s="37" t="s">
        <v>41</v>
      </c>
      <c r="C30" s="24">
        <v>46202</v>
      </c>
      <c r="D30" s="24">
        <f t="shared" si="0"/>
        <v>46208</v>
      </c>
      <c r="E30" s="25">
        <v>7</v>
      </c>
      <c r="F30" s="35">
        <v>46237</v>
      </c>
      <c r="G30" s="24">
        <f t="shared" si="1"/>
        <v>46250</v>
      </c>
      <c r="H30" s="25">
        <v>14</v>
      </c>
      <c r="I30" s="35">
        <v>46335</v>
      </c>
      <c r="J30" s="24">
        <f t="shared" si="2"/>
        <v>46341</v>
      </c>
      <c r="K30" s="25">
        <v>7</v>
      </c>
      <c r="L30" s="27">
        <f t="shared" si="3"/>
        <v>28</v>
      </c>
    </row>
    <row r="31" ht="66">
      <c r="A31" s="23" t="s">
        <v>42</v>
      </c>
      <c r="B31" s="23" t="s">
        <v>43</v>
      </c>
      <c r="C31" s="24">
        <v>46118</v>
      </c>
      <c r="D31" s="24">
        <f t="shared" si="0"/>
        <v>46124</v>
      </c>
      <c r="E31" s="25">
        <v>7</v>
      </c>
      <c r="F31" s="29">
        <v>46223</v>
      </c>
      <c r="G31" s="24">
        <f t="shared" si="1"/>
        <v>46236</v>
      </c>
      <c r="H31" s="25">
        <v>14</v>
      </c>
      <c r="I31" s="29">
        <v>45935</v>
      </c>
      <c r="J31" s="24">
        <f t="shared" si="2"/>
        <v>45941</v>
      </c>
      <c r="K31" s="25">
        <v>7</v>
      </c>
      <c r="L31" s="27">
        <f t="shared" si="3"/>
        <v>28</v>
      </c>
    </row>
    <row r="32" s="0" customFormat="1" ht="49.5">
      <c r="A32" s="23" t="s">
        <v>42</v>
      </c>
      <c r="B32" s="23" t="s">
        <v>44</v>
      </c>
      <c r="C32" s="29">
        <v>46097</v>
      </c>
      <c r="D32" s="29">
        <v>46110</v>
      </c>
      <c r="E32" s="25">
        <v>14</v>
      </c>
      <c r="F32" s="29">
        <v>46125</v>
      </c>
      <c r="G32" s="29">
        <v>46131</v>
      </c>
      <c r="H32" s="25">
        <v>7</v>
      </c>
      <c r="I32" s="29">
        <v>46146</v>
      </c>
      <c r="J32" s="29">
        <v>46152</v>
      </c>
      <c r="K32" s="25">
        <v>7</v>
      </c>
      <c r="L32" s="40">
        <f t="shared" si="3"/>
        <v>28</v>
      </c>
    </row>
    <row r="33" s="30" customFormat="1" ht="82.5">
      <c r="A33" s="28" t="s">
        <v>45</v>
      </c>
      <c r="B33" s="28" t="s">
        <v>46</v>
      </c>
      <c r="C33" s="31">
        <v>46209</v>
      </c>
      <c r="D33" s="31">
        <v>46222</v>
      </c>
      <c r="E33" s="32">
        <v>14</v>
      </c>
      <c r="F33" s="33">
        <v>46265</v>
      </c>
      <c r="G33" s="31">
        <v>46278</v>
      </c>
      <c r="H33" s="32">
        <v>14</v>
      </c>
      <c r="I33" s="41"/>
      <c r="J33" s="31" t="e">
        <f t="shared" si="2"/>
        <v>#VALUE!</v>
      </c>
      <c r="K33" s="32" t="s">
        <v>18</v>
      </c>
      <c r="L33" s="34">
        <v>28</v>
      </c>
    </row>
    <row r="34" ht="66">
      <c r="A34" s="23" t="s">
        <v>47</v>
      </c>
      <c r="B34" s="23" t="s">
        <v>48</v>
      </c>
      <c r="C34" s="24">
        <v>46103</v>
      </c>
      <c r="D34" s="24">
        <f t="shared" si="0"/>
        <v>46109</v>
      </c>
      <c r="E34" s="25">
        <v>7</v>
      </c>
      <c r="F34" s="35">
        <v>46174</v>
      </c>
      <c r="G34" s="24">
        <f t="shared" si="1"/>
        <v>46187</v>
      </c>
      <c r="H34" s="25">
        <v>14</v>
      </c>
      <c r="I34" s="35">
        <v>46280</v>
      </c>
      <c r="J34" s="24">
        <f t="shared" si="2"/>
        <v>46286</v>
      </c>
      <c r="K34" s="25">
        <v>7</v>
      </c>
      <c r="L34" s="27">
        <f t="shared" si="3"/>
        <v>28</v>
      </c>
    </row>
    <row r="35" ht="66">
      <c r="A35" s="23" t="s">
        <v>47</v>
      </c>
      <c r="B35" s="23" t="s">
        <v>49</v>
      </c>
      <c r="C35" s="24">
        <v>46125</v>
      </c>
      <c r="D35" s="24">
        <f t="shared" si="0"/>
        <v>46131</v>
      </c>
      <c r="E35" s="25">
        <v>7</v>
      </c>
      <c r="F35" s="35">
        <v>46195</v>
      </c>
      <c r="G35" s="24">
        <f t="shared" si="1"/>
        <v>46208</v>
      </c>
      <c r="H35" s="25">
        <v>14</v>
      </c>
      <c r="I35" s="35">
        <v>46300</v>
      </c>
      <c r="J35" s="24">
        <f t="shared" si="2"/>
        <v>46306</v>
      </c>
      <c r="K35" s="25">
        <v>7</v>
      </c>
      <c r="L35" s="27">
        <f t="shared" si="3"/>
        <v>28</v>
      </c>
    </row>
    <row r="36" s="30" customFormat="1" ht="66">
      <c r="A36" s="28" t="s">
        <v>47</v>
      </c>
      <c r="B36" s="28" t="s">
        <v>50</v>
      </c>
      <c r="C36" s="31">
        <v>46139</v>
      </c>
      <c r="D36" s="31">
        <f t="shared" si="0"/>
        <v>46145</v>
      </c>
      <c r="E36" s="32">
        <v>7</v>
      </c>
      <c r="F36" s="33">
        <v>46181</v>
      </c>
      <c r="G36" s="31">
        <f t="shared" si="1"/>
        <v>46194</v>
      </c>
      <c r="H36" s="32">
        <v>14</v>
      </c>
      <c r="I36" s="33">
        <v>46286</v>
      </c>
      <c r="J36" s="31">
        <f t="shared" si="2"/>
        <v>46292</v>
      </c>
      <c r="K36" s="32">
        <v>7</v>
      </c>
      <c r="L36" s="34">
        <f t="shared" si="3"/>
        <v>28</v>
      </c>
    </row>
    <row r="37" s="30" customFormat="1" ht="66">
      <c r="A37" s="28" t="s">
        <v>47</v>
      </c>
      <c r="B37" s="28" t="s">
        <v>51</v>
      </c>
      <c r="C37" s="31">
        <v>46139</v>
      </c>
      <c r="D37" s="31">
        <f t="shared" si="0"/>
        <v>46145</v>
      </c>
      <c r="E37" s="32">
        <v>7</v>
      </c>
      <c r="F37" s="33">
        <v>46244</v>
      </c>
      <c r="G37" s="31">
        <f t="shared" si="1"/>
        <v>46257</v>
      </c>
      <c r="H37" s="32">
        <v>14</v>
      </c>
      <c r="I37" s="33">
        <v>46300</v>
      </c>
      <c r="J37" s="31">
        <f t="shared" si="2"/>
        <v>46306</v>
      </c>
      <c r="K37" s="32">
        <v>7</v>
      </c>
      <c r="L37" s="34">
        <f t="shared" si="3"/>
        <v>28</v>
      </c>
    </row>
    <row r="38" s="30" customFormat="1" ht="66">
      <c r="A38" s="28" t="s">
        <v>47</v>
      </c>
      <c r="B38" s="28" t="s">
        <v>52</v>
      </c>
      <c r="C38" s="31">
        <v>46209</v>
      </c>
      <c r="D38" s="31">
        <f t="shared" si="0"/>
        <v>46222</v>
      </c>
      <c r="E38" s="32">
        <v>14</v>
      </c>
      <c r="F38" s="33">
        <v>46373</v>
      </c>
      <c r="G38" s="31">
        <f t="shared" si="1"/>
        <v>46386</v>
      </c>
      <c r="H38" s="32">
        <v>14</v>
      </c>
      <c r="I38" s="41"/>
      <c r="J38" s="31">
        <f t="shared" si="2"/>
        <v>-1</v>
      </c>
      <c r="K38" s="32">
        <v>0</v>
      </c>
      <c r="L38" s="34">
        <f t="shared" si="3"/>
        <v>28</v>
      </c>
    </row>
    <row r="39" s="30" customFormat="1" ht="66">
      <c r="A39" s="28" t="s">
        <v>47</v>
      </c>
      <c r="B39" s="28" t="s">
        <v>53</v>
      </c>
      <c r="C39" s="31">
        <v>46132</v>
      </c>
      <c r="D39" s="31">
        <f t="shared" si="0"/>
        <v>46138</v>
      </c>
      <c r="E39" s="32">
        <v>7</v>
      </c>
      <c r="F39" s="33">
        <v>46223</v>
      </c>
      <c r="G39" s="31">
        <f t="shared" si="1"/>
        <v>46229</v>
      </c>
      <c r="H39" s="32">
        <v>7</v>
      </c>
      <c r="I39" s="33">
        <v>46307</v>
      </c>
      <c r="J39" s="31">
        <f t="shared" si="2"/>
        <v>46320</v>
      </c>
      <c r="K39" s="32">
        <v>14</v>
      </c>
      <c r="L39" s="34">
        <f t="shared" si="3"/>
        <v>28</v>
      </c>
    </row>
    <row r="40" s="30" customFormat="1" ht="66">
      <c r="A40" s="28" t="s">
        <v>47</v>
      </c>
      <c r="B40" s="28" t="s">
        <v>54</v>
      </c>
      <c r="C40" s="38">
        <v>46132</v>
      </c>
      <c r="D40" s="31">
        <f t="shared" si="0"/>
        <v>46138</v>
      </c>
      <c r="E40" s="32">
        <v>7</v>
      </c>
      <c r="F40" s="42">
        <v>46223</v>
      </c>
      <c r="G40" s="31">
        <f t="shared" si="1"/>
        <v>46229</v>
      </c>
      <c r="H40" s="32">
        <v>7</v>
      </c>
      <c r="I40" s="42">
        <v>46307</v>
      </c>
      <c r="J40" s="31">
        <f t="shared" si="2"/>
        <v>46320</v>
      </c>
      <c r="K40" s="32">
        <v>14</v>
      </c>
      <c r="L40" s="34">
        <f t="shared" si="3"/>
        <v>28</v>
      </c>
    </row>
    <row r="41" s="30" customFormat="1" ht="66">
      <c r="A41" s="28" t="s">
        <v>47</v>
      </c>
      <c r="B41" s="28" t="s">
        <v>55</v>
      </c>
      <c r="C41" s="31">
        <v>46118</v>
      </c>
      <c r="D41" s="31">
        <f t="shared" si="0"/>
        <v>46131</v>
      </c>
      <c r="E41" s="32">
        <v>14</v>
      </c>
      <c r="F41" s="33">
        <v>46188</v>
      </c>
      <c r="G41" s="31">
        <f t="shared" si="1"/>
        <v>46194</v>
      </c>
      <c r="H41" s="32">
        <v>7</v>
      </c>
      <c r="I41" s="33">
        <v>46332</v>
      </c>
      <c r="J41" s="31">
        <f t="shared" si="2"/>
        <v>46338</v>
      </c>
      <c r="K41" s="32">
        <v>7</v>
      </c>
      <c r="L41" s="34">
        <f t="shared" si="3"/>
        <v>28</v>
      </c>
    </row>
    <row r="42" s="30" customFormat="1" ht="66">
      <c r="A42" s="28" t="s">
        <v>47</v>
      </c>
      <c r="B42" s="28" t="s">
        <v>56</v>
      </c>
      <c r="C42" s="31">
        <v>46209</v>
      </c>
      <c r="D42" s="31">
        <f t="shared" si="0"/>
        <v>46222</v>
      </c>
      <c r="E42" s="32">
        <v>14</v>
      </c>
      <c r="F42" s="33">
        <v>46286</v>
      </c>
      <c r="G42" s="31">
        <f t="shared" si="1"/>
        <v>46299</v>
      </c>
      <c r="H42" s="32">
        <v>14</v>
      </c>
      <c r="I42" s="41"/>
      <c r="J42" s="31">
        <f t="shared" si="2"/>
        <v>-1</v>
      </c>
      <c r="K42" s="32">
        <v>0</v>
      </c>
      <c r="L42" s="34">
        <f t="shared" si="3"/>
        <v>28</v>
      </c>
    </row>
    <row r="43" s="30" customFormat="1" ht="66">
      <c r="A43" s="28" t="s">
        <v>47</v>
      </c>
      <c r="B43" s="28" t="s">
        <v>57</v>
      </c>
      <c r="C43" s="31">
        <v>46146</v>
      </c>
      <c r="D43" s="31">
        <f t="shared" si="0"/>
        <v>46152</v>
      </c>
      <c r="E43" s="32">
        <v>7</v>
      </c>
      <c r="F43" s="33">
        <v>46230</v>
      </c>
      <c r="G43" s="31">
        <f t="shared" si="1"/>
        <v>46243</v>
      </c>
      <c r="H43" s="32">
        <v>14</v>
      </c>
      <c r="I43" s="33">
        <v>46335</v>
      </c>
      <c r="J43" s="31">
        <f t="shared" si="2"/>
        <v>46341</v>
      </c>
      <c r="K43" s="32">
        <v>7</v>
      </c>
      <c r="L43" s="34">
        <f t="shared" si="3"/>
        <v>28</v>
      </c>
    </row>
    <row r="44" s="30" customFormat="1" ht="66">
      <c r="A44" s="28" t="s">
        <v>47</v>
      </c>
      <c r="B44" s="28" t="s">
        <v>58</v>
      </c>
      <c r="C44" s="31">
        <v>46062</v>
      </c>
      <c r="D44" s="31">
        <f t="shared" si="0"/>
        <v>46068</v>
      </c>
      <c r="E44" s="32">
        <v>7</v>
      </c>
      <c r="F44" s="33">
        <v>46146</v>
      </c>
      <c r="G44" s="31">
        <f t="shared" si="1"/>
        <v>46152</v>
      </c>
      <c r="H44" s="32">
        <v>7</v>
      </c>
      <c r="I44" s="33">
        <v>46342</v>
      </c>
      <c r="J44" s="31">
        <f t="shared" si="2"/>
        <v>46355</v>
      </c>
      <c r="K44" s="32">
        <v>14</v>
      </c>
      <c r="L44" s="34">
        <f t="shared" si="3"/>
        <v>28</v>
      </c>
    </row>
    <row r="45" s="30" customFormat="1" ht="66">
      <c r="A45" s="28" t="s">
        <v>47</v>
      </c>
      <c r="B45" s="28" t="s">
        <v>59</v>
      </c>
      <c r="C45" s="31">
        <v>46160</v>
      </c>
      <c r="D45" s="31">
        <f t="shared" si="0"/>
        <v>46173</v>
      </c>
      <c r="E45" s="32">
        <v>14</v>
      </c>
      <c r="F45" s="33">
        <v>46261</v>
      </c>
      <c r="G45" s="31">
        <f t="shared" si="1"/>
        <v>46274</v>
      </c>
      <c r="H45" s="32">
        <v>14</v>
      </c>
      <c r="I45" s="41"/>
      <c r="J45" s="31">
        <f t="shared" si="2"/>
        <v>-1</v>
      </c>
      <c r="K45" s="32">
        <v>0</v>
      </c>
      <c r="L45" s="34">
        <f t="shared" si="3"/>
        <v>28</v>
      </c>
    </row>
    <row r="46" s="30" customFormat="1" ht="99">
      <c r="A46" s="28" t="s">
        <v>60</v>
      </c>
      <c r="B46" s="28" t="s">
        <v>61</v>
      </c>
      <c r="C46" s="31">
        <v>46083</v>
      </c>
      <c r="D46" s="31">
        <f t="shared" si="0"/>
        <v>46089</v>
      </c>
      <c r="E46" s="32">
        <v>7</v>
      </c>
      <c r="F46" s="43">
        <v>46204</v>
      </c>
      <c r="G46" s="31">
        <f t="shared" si="1"/>
        <v>46217</v>
      </c>
      <c r="H46" s="32">
        <v>14</v>
      </c>
      <c r="I46" s="33">
        <v>46357</v>
      </c>
      <c r="J46" s="31">
        <f t="shared" si="2"/>
        <v>46363</v>
      </c>
      <c r="K46" s="32">
        <v>7</v>
      </c>
      <c r="L46" s="34">
        <f t="shared" si="3"/>
        <v>28</v>
      </c>
    </row>
    <row r="47" s="30" customFormat="1" ht="99">
      <c r="A47" s="28" t="s">
        <v>60</v>
      </c>
      <c r="B47" s="28" t="s">
        <v>62</v>
      </c>
      <c r="C47" s="31">
        <v>46097</v>
      </c>
      <c r="D47" s="31">
        <f t="shared" si="0"/>
        <v>46110</v>
      </c>
      <c r="E47" s="32">
        <v>14</v>
      </c>
      <c r="F47" s="33">
        <v>46195</v>
      </c>
      <c r="G47" s="31">
        <f t="shared" si="1"/>
        <v>46201</v>
      </c>
      <c r="H47" s="32">
        <v>7</v>
      </c>
      <c r="I47" s="33">
        <v>46300</v>
      </c>
      <c r="J47" s="31">
        <f t="shared" si="2"/>
        <v>46306</v>
      </c>
      <c r="K47" s="32">
        <v>7</v>
      </c>
      <c r="L47" s="34">
        <f t="shared" si="3"/>
        <v>28</v>
      </c>
    </row>
    <row r="48" s="30" customFormat="1" ht="99">
      <c r="A48" s="28" t="s">
        <v>60</v>
      </c>
      <c r="B48" s="28" t="s">
        <v>63</v>
      </c>
      <c r="C48" s="31">
        <v>46091</v>
      </c>
      <c r="D48" s="31">
        <f t="shared" si="0"/>
        <v>46097</v>
      </c>
      <c r="E48" s="32">
        <v>7</v>
      </c>
      <c r="F48" s="33">
        <v>46167</v>
      </c>
      <c r="G48" s="31">
        <f t="shared" si="1"/>
        <v>46180</v>
      </c>
      <c r="H48" s="32">
        <v>14</v>
      </c>
      <c r="I48" s="33">
        <v>46314</v>
      </c>
      <c r="J48" s="31">
        <f t="shared" si="2"/>
        <v>46320</v>
      </c>
      <c r="K48" s="32">
        <v>7</v>
      </c>
      <c r="L48" s="34">
        <f t="shared" si="3"/>
        <v>28</v>
      </c>
    </row>
    <row r="49" s="30" customFormat="1" ht="99">
      <c r="A49" s="28" t="s">
        <v>60</v>
      </c>
      <c r="B49" s="28" t="s">
        <v>64</v>
      </c>
      <c r="C49" s="31">
        <v>46076</v>
      </c>
      <c r="D49" s="31">
        <f t="shared" si="0"/>
        <v>46082</v>
      </c>
      <c r="E49" s="32">
        <v>7</v>
      </c>
      <c r="F49" s="33">
        <v>46181</v>
      </c>
      <c r="G49" s="31">
        <f t="shared" si="1"/>
        <v>46194</v>
      </c>
      <c r="H49" s="32">
        <v>14</v>
      </c>
      <c r="I49" s="33">
        <v>46321</v>
      </c>
      <c r="J49" s="31">
        <f t="shared" si="2"/>
        <v>46327</v>
      </c>
      <c r="K49" s="32">
        <v>7</v>
      </c>
      <c r="L49" s="34">
        <f t="shared" si="3"/>
        <v>28</v>
      </c>
    </row>
    <row r="50" s="30" customFormat="1" ht="99">
      <c r="A50" s="28" t="s">
        <v>60</v>
      </c>
      <c r="B50" s="28" t="s">
        <v>65</v>
      </c>
      <c r="C50" s="31">
        <v>46132</v>
      </c>
      <c r="D50" s="31">
        <f t="shared" si="0"/>
        <v>46138</v>
      </c>
      <c r="E50" s="32">
        <v>7</v>
      </c>
      <c r="F50" s="33">
        <v>46251</v>
      </c>
      <c r="G50" s="31">
        <f t="shared" si="1"/>
        <v>46264</v>
      </c>
      <c r="H50" s="32">
        <v>14</v>
      </c>
      <c r="I50" s="33">
        <v>46335</v>
      </c>
      <c r="J50" s="31">
        <f t="shared" si="2"/>
        <v>46341</v>
      </c>
      <c r="K50" s="32">
        <v>7</v>
      </c>
      <c r="L50" s="34">
        <f t="shared" si="3"/>
        <v>28</v>
      </c>
    </row>
    <row r="51" s="30" customFormat="1" ht="99">
      <c r="A51" s="28" t="s">
        <v>60</v>
      </c>
      <c r="B51" s="28" t="s">
        <v>66</v>
      </c>
      <c r="C51" s="31">
        <v>46136</v>
      </c>
      <c r="D51" s="31">
        <f t="shared" si="0"/>
        <v>46142</v>
      </c>
      <c r="E51" s="32">
        <v>7</v>
      </c>
      <c r="F51" s="33">
        <v>46237</v>
      </c>
      <c r="G51" s="31">
        <f t="shared" si="1"/>
        <v>46250</v>
      </c>
      <c r="H51" s="32">
        <v>14</v>
      </c>
      <c r="I51" s="33">
        <v>46328</v>
      </c>
      <c r="J51" s="31">
        <f t="shared" si="2"/>
        <v>46334</v>
      </c>
      <c r="K51" s="32">
        <v>7</v>
      </c>
      <c r="L51" s="34">
        <f t="shared" si="3"/>
        <v>28</v>
      </c>
    </row>
    <row r="52" s="30" customFormat="1" ht="99">
      <c r="A52" s="28" t="s">
        <v>60</v>
      </c>
      <c r="B52" s="28" t="s">
        <v>67</v>
      </c>
      <c r="C52" s="31">
        <v>46118</v>
      </c>
      <c r="D52" s="31">
        <f t="shared" si="0"/>
        <v>46124</v>
      </c>
      <c r="E52" s="32">
        <v>7</v>
      </c>
      <c r="F52" s="33">
        <v>46237</v>
      </c>
      <c r="G52" s="31">
        <f t="shared" si="1"/>
        <v>46250</v>
      </c>
      <c r="H52" s="32">
        <v>14</v>
      </c>
      <c r="I52" s="33">
        <v>46370</v>
      </c>
      <c r="J52" s="31">
        <f t="shared" si="2"/>
        <v>46376</v>
      </c>
      <c r="K52" s="32">
        <v>7</v>
      </c>
      <c r="L52" s="34">
        <f t="shared" si="3"/>
        <v>28</v>
      </c>
    </row>
    <row r="53" s="30" customFormat="1" ht="99">
      <c r="A53" s="28" t="s">
        <v>60</v>
      </c>
      <c r="B53" s="28" t="s">
        <v>68</v>
      </c>
      <c r="C53" s="31">
        <v>46218</v>
      </c>
      <c r="D53" s="31">
        <f t="shared" si="0"/>
        <v>46231</v>
      </c>
      <c r="E53" s="32">
        <v>14</v>
      </c>
      <c r="F53" s="33">
        <v>46266</v>
      </c>
      <c r="G53" s="31">
        <f t="shared" si="1"/>
        <v>46272</v>
      </c>
      <c r="H53" s="32">
        <v>7</v>
      </c>
      <c r="I53" s="33">
        <v>46305</v>
      </c>
      <c r="J53" s="31">
        <f t="shared" si="2"/>
        <v>46311</v>
      </c>
      <c r="K53" s="32">
        <v>7</v>
      </c>
      <c r="L53" s="34">
        <f t="shared" si="3"/>
        <v>28</v>
      </c>
    </row>
    <row r="54" s="30" customFormat="1" ht="49.5">
      <c r="A54" s="28" t="s">
        <v>69</v>
      </c>
      <c r="B54" s="28" t="s">
        <v>70</v>
      </c>
      <c r="C54" s="31">
        <v>46125</v>
      </c>
      <c r="D54" s="31">
        <f t="shared" si="0"/>
        <v>46131</v>
      </c>
      <c r="E54" s="32">
        <v>7</v>
      </c>
      <c r="F54" s="33">
        <v>46216</v>
      </c>
      <c r="G54" s="31">
        <f t="shared" si="1"/>
        <v>46229</v>
      </c>
      <c r="H54" s="32">
        <v>14</v>
      </c>
      <c r="I54" s="33">
        <v>46321</v>
      </c>
      <c r="J54" s="31">
        <f t="shared" si="2"/>
        <v>46327</v>
      </c>
      <c r="K54" s="32">
        <v>7</v>
      </c>
      <c r="L54" s="34">
        <f t="shared" si="3"/>
        <v>28</v>
      </c>
    </row>
    <row r="55" s="30" customFormat="1" ht="66">
      <c r="A55" s="28" t="s">
        <v>69</v>
      </c>
      <c r="B55" s="28" t="s">
        <v>71</v>
      </c>
      <c r="C55" s="31">
        <v>45704</v>
      </c>
      <c r="D55" s="31">
        <f t="shared" si="0"/>
        <v>45710</v>
      </c>
      <c r="E55" s="32">
        <v>7</v>
      </c>
      <c r="F55" s="33">
        <v>45872</v>
      </c>
      <c r="G55" s="31">
        <f t="shared" si="1"/>
        <v>45885</v>
      </c>
      <c r="H55" s="32">
        <v>14</v>
      </c>
      <c r="I55" s="33">
        <v>45942</v>
      </c>
      <c r="J55" s="31">
        <f t="shared" si="2"/>
        <v>45948</v>
      </c>
      <c r="K55" s="32">
        <v>7</v>
      </c>
      <c r="L55" s="34">
        <f t="shared" si="3"/>
        <v>28</v>
      </c>
    </row>
    <row r="56" s="30" customFormat="1" ht="49.5">
      <c r="A56" s="28" t="s">
        <v>69</v>
      </c>
      <c r="B56" s="28" t="s">
        <v>72</v>
      </c>
      <c r="C56" s="31">
        <v>46104</v>
      </c>
      <c r="D56" s="31">
        <f t="shared" si="0"/>
        <v>46110</v>
      </c>
      <c r="E56" s="32">
        <v>7</v>
      </c>
      <c r="F56" s="33">
        <v>46181</v>
      </c>
      <c r="G56" s="31">
        <f t="shared" si="1"/>
        <v>46194</v>
      </c>
      <c r="H56" s="32">
        <v>14</v>
      </c>
      <c r="I56" s="33">
        <v>46370</v>
      </c>
      <c r="J56" s="31">
        <f t="shared" si="2"/>
        <v>46376</v>
      </c>
      <c r="K56" s="32">
        <v>7</v>
      </c>
      <c r="L56" s="34">
        <f t="shared" si="3"/>
        <v>28</v>
      </c>
    </row>
    <row r="57" s="30" customFormat="1" ht="115.5">
      <c r="A57" s="28" t="s">
        <v>73</v>
      </c>
      <c r="B57" s="28" t="s">
        <v>74</v>
      </c>
      <c r="C57" s="38">
        <v>46104</v>
      </c>
      <c r="D57" s="31">
        <f t="shared" si="0"/>
        <v>46110</v>
      </c>
      <c r="E57" s="39">
        <v>7</v>
      </c>
      <c r="F57" s="33">
        <v>46195</v>
      </c>
      <c r="G57" s="31">
        <f t="shared" si="1"/>
        <v>46208</v>
      </c>
      <c r="H57" s="32">
        <v>14</v>
      </c>
      <c r="I57" s="33">
        <v>46244</v>
      </c>
      <c r="J57" s="31">
        <v>46250</v>
      </c>
      <c r="K57" s="32">
        <v>7</v>
      </c>
      <c r="L57" s="34">
        <f t="shared" si="3"/>
        <v>28</v>
      </c>
    </row>
    <row r="58" s="30" customFormat="1" ht="115.5">
      <c r="A58" s="28" t="s">
        <v>73</v>
      </c>
      <c r="B58" s="28" t="s">
        <v>75</v>
      </c>
      <c r="C58" s="31">
        <v>46146</v>
      </c>
      <c r="D58" s="31">
        <f t="shared" si="0"/>
        <v>46152</v>
      </c>
      <c r="E58" s="32">
        <v>7</v>
      </c>
      <c r="F58" s="33">
        <v>46216</v>
      </c>
      <c r="G58" s="31">
        <f t="shared" si="1"/>
        <v>46229</v>
      </c>
      <c r="H58" s="32">
        <v>14</v>
      </c>
      <c r="I58" s="33">
        <v>46258</v>
      </c>
      <c r="J58" s="31">
        <f t="shared" si="2"/>
        <v>46264</v>
      </c>
      <c r="K58" s="32">
        <v>7</v>
      </c>
      <c r="L58" s="34">
        <f t="shared" si="3"/>
        <v>28</v>
      </c>
    </row>
    <row r="59" s="30" customFormat="1" ht="66">
      <c r="A59" s="28" t="s">
        <v>76</v>
      </c>
      <c r="B59" s="28" t="s">
        <v>77</v>
      </c>
      <c r="C59" s="31">
        <v>46111</v>
      </c>
      <c r="D59" s="31">
        <v>46117</v>
      </c>
      <c r="E59" s="32">
        <v>7</v>
      </c>
      <c r="F59" s="31">
        <v>46223</v>
      </c>
      <c r="G59" s="31">
        <f t="shared" si="1"/>
        <v>46236</v>
      </c>
      <c r="H59" s="32">
        <v>14</v>
      </c>
      <c r="I59" s="33">
        <v>46321</v>
      </c>
      <c r="J59" s="31">
        <v>46327</v>
      </c>
      <c r="K59" s="32">
        <v>7</v>
      </c>
      <c r="L59" s="34">
        <f t="shared" si="3"/>
        <v>28</v>
      </c>
    </row>
    <row r="60" s="30" customFormat="1" ht="49.5">
      <c r="A60" s="28" t="s">
        <v>76</v>
      </c>
      <c r="B60" s="28" t="s">
        <v>78</v>
      </c>
      <c r="C60" s="38">
        <v>46160</v>
      </c>
      <c r="D60" s="31">
        <f t="shared" si="0"/>
        <v>46166</v>
      </c>
      <c r="E60" s="32">
        <v>7</v>
      </c>
      <c r="F60" s="38">
        <v>46209</v>
      </c>
      <c r="G60" s="31">
        <f t="shared" si="1"/>
        <v>46222</v>
      </c>
      <c r="H60" s="32">
        <v>14</v>
      </c>
      <c r="I60" s="38">
        <v>46300</v>
      </c>
      <c r="J60" s="31">
        <f t="shared" si="2"/>
        <v>46306</v>
      </c>
      <c r="K60" s="32">
        <v>7</v>
      </c>
      <c r="L60" s="34">
        <f t="shared" si="3"/>
        <v>28</v>
      </c>
    </row>
    <row r="61" s="30" customFormat="1" ht="49.5">
      <c r="A61" s="28" t="s">
        <v>76</v>
      </c>
      <c r="B61" s="28" t="s">
        <v>79</v>
      </c>
      <c r="C61" s="38">
        <v>46091</v>
      </c>
      <c r="D61" s="31">
        <f t="shared" si="0"/>
        <v>46097</v>
      </c>
      <c r="E61" s="32">
        <v>7</v>
      </c>
      <c r="F61" s="38">
        <v>46202</v>
      </c>
      <c r="G61" s="31">
        <f t="shared" si="1"/>
        <v>46215</v>
      </c>
      <c r="H61" s="32">
        <v>14</v>
      </c>
      <c r="I61" s="38">
        <v>46335</v>
      </c>
      <c r="J61" s="31">
        <f t="shared" si="2"/>
        <v>46341</v>
      </c>
      <c r="K61" s="32">
        <v>7</v>
      </c>
      <c r="L61" s="34">
        <f t="shared" si="3"/>
        <v>28</v>
      </c>
    </row>
    <row r="62" s="30" customFormat="1" ht="49.5">
      <c r="A62" s="28" t="s">
        <v>76</v>
      </c>
      <c r="B62" s="28" t="s">
        <v>80</v>
      </c>
      <c r="C62" s="38">
        <v>46282</v>
      </c>
      <c r="D62" s="31">
        <f t="shared" si="0"/>
        <v>46295</v>
      </c>
      <c r="E62" s="32">
        <v>14</v>
      </c>
      <c r="F62" s="33">
        <v>46357</v>
      </c>
      <c r="G62" s="31">
        <f t="shared" si="1"/>
        <v>46363</v>
      </c>
      <c r="H62" s="32">
        <v>7</v>
      </c>
      <c r="I62" s="33">
        <v>46364</v>
      </c>
      <c r="J62" s="31">
        <f t="shared" si="2"/>
        <v>46370</v>
      </c>
      <c r="K62" s="32">
        <v>7</v>
      </c>
      <c r="L62" s="34">
        <f t="shared" si="3"/>
        <v>28</v>
      </c>
    </row>
    <row r="63" s="30" customFormat="1" ht="49.5">
      <c r="A63" s="28" t="s">
        <v>76</v>
      </c>
      <c r="B63" s="28" t="s">
        <v>81</v>
      </c>
      <c r="C63" s="38">
        <v>46216</v>
      </c>
      <c r="D63" s="31">
        <f t="shared" si="0"/>
        <v>46229</v>
      </c>
      <c r="E63" s="32">
        <v>14</v>
      </c>
      <c r="F63" s="38">
        <v>46342</v>
      </c>
      <c r="G63" s="31">
        <f t="shared" si="1"/>
        <v>46348</v>
      </c>
      <c r="H63" s="32">
        <v>7</v>
      </c>
      <c r="I63" s="38">
        <v>46349</v>
      </c>
      <c r="J63" s="31">
        <f t="shared" si="2"/>
        <v>46355</v>
      </c>
      <c r="K63" s="32">
        <v>7</v>
      </c>
      <c r="L63" s="34">
        <f t="shared" si="3"/>
        <v>28</v>
      </c>
    </row>
    <row r="64" s="30" customFormat="1" ht="66">
      <c r="A64" s="28" t="s">
        <v>76</v>
      </c>
      <c r="B64" s="28" t="s">
        <v>82</v>
      </c>
      <c r="C64" s="38">
        <v>46282</v>
      </c>
      <c r="D64" s="31">
        <f t="shared" si="0"/>
        <v>46295</v>
      </c>
      <c r="E64" s="32">
        <v>14</v>
      </c>
      <c r="F64" s="38">
        <v>46331</v>
      </c>
      <c r="G64" s="31">
        <f t="shared" si="1"/>
        <v>46337</v>
      </c>
      <c r="H64" s="32">
        <v>7</v>
      </c>
      <c r="I64" s="38">
        <v>46377</v>
      </c>
      <c r="J64" s="31">
        <f t="shared" si="2"/>
        <v>46383</v>
      </c>
      <c r="K64" s="32">
        <v>7</v>
      </c>
      <c r="L64" s="34">
        <f t="shared" si="3"/>
        <v>28</v>
      </c>
    </row>
    <row r="65" s="30" customFormat="1" ht="49.5">
      <c r="A65" s="28" t="s">
        <v>76</v>
      </c>
      <c r="B65" s="28" t="s">
        <v>83</v>
      </c>
      <c r="C65" s="31">
        <v>46132</v>
      </c>
      <c r="D65" s="31">
        <f t="shared" si="0"/>
        <v>46138</v>
      </c>
      <c r="E65" s="32">
        <v>7</v>
      </c>
      <c r="F65" s="43">
        <v>46216</v>
      </c>
      <c r="G65" s="31">
        <f t="shared" si="1"/>
        <v>46229</v>
      </c>
      <c r="H65" s="32">
        <v>14</v>
      </c>
      <c r="I65" s="43">
        <v>45942</v>
      </c>
      <c r="J65" s="31">
        <f t="shared" si="2"/>
        <v>45948</v>
      </c>
      <c r="K65" s="32">
        <v>7</v>
      </c>
      <c r="L65" s="34">
        <f t="shared" si="3"/>
        <v>28</v>
      </c>
    </row>
    <row r="66" s="30" customFormat="1" ht="49.5">
      <c r="A66" s="28" t="s">
        <v>76</v>
      </c>
      <c r="B66" s="28" t="s">
        <v>84</v>
      </c>
      <c r="C66" s="31">
        <v>46188</v>
      </c>
      <c r="D66" s="31">
        <f t="shared" si="0"/>
        <v>46194</v>
      </c>
      <c r="E66" s="32">
        <v>7</v>
      </c>
      <c r="F66" s="38">
        <v>46237</v>
      </c>
      <c r="G66" s="31">
        <f t="shared" si="1"/>
        <v>46250</v>
      </c>
      <c r="H66" s="32">
        <v>14</v>
      </c>
      <c r="I66" s="38">
        <v>46321</v>
      </c>
      <c r="J66" s="31">
        <f t="shared" si="2"/>
        <v>46327</v>
      </c>
      <c r="K66" s="32">
        <v>7</v>
      </c>
      <c r="L66" s="34">
        <f t="shared" si="3"/>
        <v>28</v>
      </c>
    </row>
    <row r="67" s="30" customFormat="1" ht="99">
      <c r="A67" s="28" t="s">
        <v>85</v>
      </c>
      <c r="B67" s="28" t="s">
        <v>86</v>
      </c>
      <c r="C67" s="44">
        <v>46195</v>
      </c>
      <c r="D67" s="44">
        <v>46201</v>
      </c>
      <c r="E67" s="32">
        <v>7</v>
      </c>
      <c r="F67" s="45">
        <v>46251</v>
      </c>
      <c r="G67" s="31">
        <v>46264</v>
      </c>
      <c r="H67" s="32">
        <v>14</v>
      </c>
      <c r="I67" s="45">
        <v>45970</v>
      </c>
      <c r="J67" s="31">
        <v>45976</v>
      </c>
      <c r="K67" s="32">
        <v>7</v>
      </c>
      <c r="L67" s="34">
        <f t="shared" si="3"/>
        <v>28</v>
      </c>
    </row>
    <row r="68" s="30" customFormat="1" ht="99">
      <c r="A68" s="28" t="s">
        <v>85</v>
      </c>
      <c r="B68" s="28" t="s">
        <v>87</v>
      </c>
      <c r="C68" s="31">
        <v>46139</v>
      </c>
      <c r="D68" s="31">
        <v>46145</v>
      </c>
      <c r="E68" s="32">
        <v>7</v>
      </c>
      <c r="F68" s="43">
        <v>46174</v>
      </c>
      <c r="G68" s="31">
        <f t="shared" si="1"/>
        <v>46180</v>
      </c>
      <c r="H68" s="32">
        <v>7</v>
      </c>
      <c r="I68" s="43">
        <v>46251</v>
      </c>
      <c r="J68" s="31">
        <f t="shared" si="2"/>
        <v>46264</v>
      </c>
      <c r="K68" s="32">
        <v>14</v>
      </c>
      <c r="L68" s="34">
        <f t="shared" si="3"/>
        <v>28</v>
      </c>
    </row>
    <row r="69" s="30" customFormat="1" ht="82.5">
      <c r="A69" s="28" t="s">
        <v>88</v>
      </c>
      <c r="B69" s="28" t="s">
        <v>89</v>
      </c>
      <c r="C69" s="31">
        <v>46097</v>
      </c>
      <c r="D69" s="31">
        <v>46103</v>
      </c>
      <c r="E69" s="32">
        <v>7</v>
      </c>
      <c r="F69" s="33">
        <v>46244</v>
      </c>
      <c r="G69" s="31">
        <f t="shared" si="1"/>
        <v>46257</v>
      </c>
      <c r="H69" s="32">
        <v>14</v>
      </c>
      <c r="I69" s="33">
        <v>46335</v>
      </c>
      <c r="J69" s="31">
        <f t="shared" si="2"/>
        <v>46341</v>
      </c>
      <c r="K69" s="32">
        <v>7</v>
      </c>
      <c r="L69" s="34">
        <f t="shared" si="3"/>
        <v>28</v>
      </c>
    </row>
    <row r="70" s="30" customFormat="1" ht="82.5">
      <c r="A70" s="28" t="s">
        <v>88</v>
      </c>
      <c r="B70" s="28" t="s">
        <v>90</v>
      </c>
      <c r="C70" s="31">
        <v>46181</v>
      </c>
      <c r="D70" s="31">
        <f t="shared" si="0"/>
        <v>46194</v>
      </c>
      <c r="E70" s="32">
        <v>14</v>
      </c>
      <c r="F70" s="33">
        <v>46237</v>
      </c>
      <c r="G70" s="31">
        <f t="shared" si="1"/>
        <v>46243</v>
      </c>
      <c r="H70" s="32">
        <v>7</v>
      </c>
      <c r="I70" s="33">
        <v>46321</v>
      </c>
      <c r="J70" s="31">
        <f t="shared" si="2"/>
        <v>46327</v>
      </c>
      <c r="K70" s="32">
        <v>7</v>
      </c>
      <c r="L70" s="34">
        <f t="shared" si="3"/>
        <v>28</v>
      </c>
    </row>
    <row r="71" s="30" customFormat="1" ht="82.5">
      <c r="A71" s="28" t="s">
        <v>88</v>
      </c>
      <c r="B71" s="28" t="s">
        <v>91</v>
      </c>
      <c r="C71" s="46">
        <v>46055</v>
      </c>
      <c r="D71" s="31">
        <f t="shared" si="0"/>
        <v>46061</v>
      </c>
      <c r="E71" s="32">
        <v>7</v>
      </c>
      <c r="F71" s="43">
        <v>46223</v>
      </c>
      <c r="G71" s="31">
        <f t="shared" si="1"/>
        <v>46236</v>
      </c>
      <c r="H71" s="32">
        <v>14</v>
      </c>
      <c r="I71" s="43">
        <v>46314</v>
      </c>
      <c r="J71" s="31">
        <f t="shared" si="2"/>
        <v>46320</v>
      </c>
      <c r="K71" s="32">
        <v>7</v>
      </c>
      <c r="L71" s="34">
        <f t="shared" si="3"/>
        <v>28</v>
      </c>
    </row>
    <row r="72" s="30" customFormat="1" ht="82.5">
      <c r="A72" s="28" t="s">
        <v>88</v>
      </c>
      <c r="B72" s="28" t="s">
        <v>92</v>
      </c>
      <c r="C72" s="46">
        <v>46113</v>
      </c>
      <c r="D72" s="31">
        <f t="shared" si="0"/>
        <v>46119</v>
      </c>
      <c r="E72" s="32">
        <v>7</v>
      </c>
      <c r="F72" s="43">
        <v>46266</v>
      </c>
      <c r="G72" s="31">
        <f t="shared" si="1"/>
        <v>46279</v>
      </c>
      <c r="H72" s="32">
        <v>14</v>
      </c>
      <c r="I72" s="43">
        <v>46345</v>
      </c>
      <c r="J72" s="31">
        <f t="shared" si="2"/>
        <v>46351</v>
      </c>
      <c r="K72" s="32">
        <v>7</v>
      </c>
      <c r="L72" s="34">
        <f t="shared" si="3"/>
        <v>28</v>
      </c>
    </row>
    <row r="73" s="30" customFormat="1" ht="82.5">
      <c r="A73" s="28" t="s">
        <v>88</v>
      </c>
      <c r="B73" s="28" t="s">
        <v>93</v>
      </c>
      <c r="C73" s="31">
        <v>46104</v>
      </c>
      <c r="D73" s="31">
        <f t="shared" si="0"/>
        <v>46110</v>
      </c>
      <c r="E73" s="32">
        <v>7</v>
      </c>
      <c r="F73" s="33">
        <v>46216</v>
      </c>
      <c r="G73" s="31">
        <f t="shared" si="1"/>
        <v>46229</v>
      </c>
      <c r="H73" s="32">
        <v>14</v>
      </c>
      <c r="I73" s="33">
        <v>46279</v>
      </c>
      <c r="J73" s="31">
        <f t="shared" si="2"/>
        <v>46285</v>
      </c>
      <c r="K73" s="32">
        <v>7</v>
      </c>
      <c r="L73" s="34">
        <f t="shared" si="3"/>
        <v>28</v>
      </c>
    </row>
    <row r="74" s="30" customFormat="1" ht="82.5">
      <c r="A74" s="28" t="s">
        <v>88</v>
      </c>
      <c r="B74" s="28" t="s">
        <v>94</v>
      </c>
      <c r="C74" s="31">
        <v>46132</v>
      </c>
      <c r="D74" s="31">
        <f t="shared" si="0"/>
        <v>46138</v>
      </c>
      <c r="E74" s="32">
        <v>7</v>
      </c>
      <c r="F74" s="33">
        <v>46209</v>
      </c>
      <c r="G74" s="31">
        <f t="shared" si="1"/>
        <v>46222</v>
      </c>
      <c r="H74" s="32">
        <v>14</v>
      </c>
      <c r="I74" s="33">
        <v>46314</v>
      </c>
      <c r="J74" s="31">
        <f t="shared" si="2"/>
        <v>46320</v>
      </c>
      <c r="K74" s="32">
        <v>7</v>
      </c>
      <c r="L74" s="34">
        <f t="shared" si="3"/>
        <v>28</v>
      </c>
    </row>
    <row r="75" s="30" customFormat="1" ht="99">
      <c r="A75" s="28" t="s">
        <v>85</v>
      </c>
      <c r="B75" s="28" t="s">
        <v>95</v>
      </c>
      <c r="C75" s="47">
        <v>45797</v>
      </c>
      <c r="D75" s="47">
        <f t="shared" si="0"/>
        <v>45803</v>
      </c>
      <c r="E75" s="32">
        <v>7</v>
      </c>
      <c r="F75" s="43">
        <v>45916</v>
      </c>
      <c r="G75" s="31">
        <v>45923</v>
      </c>
      <c r="H75" s="32">
        <v>7</v>
      </c>
      <c r="I75" s="43">
        <v>46000</v>
      </c>
      <c r="J75" s="31">
        <v>46014</v>
      </c>
      <c r="K75" s="32">
        <v>14</v>
      </c>
      <c r="L75" s="34">
        <f t="shared" si="3"/>
        <v>28</v>
      </c>
    </row>
    <row r="76" s="30" customFormat="1" ht="82.5">
      <c r="A76" s="28" t="s">
        <v>88</v>
      </c>
      <c r="B76" s="28" t="s">
        <v>96</v>
      </c>
      <c r="C76" s="31">
        <v>46146</v>
      </c>
      <c r="D76" s="31">
        <f t="shared" ref="D76:D115" si="4">C76+E76-1</f>
        <v>46152</v>
      </c>
      <c r="E76" s="32">
        <v>7</v>
      </c>
      <c r="F76" s="33">
        <v>46206</v>
      </c>
      <c r="G76" s="31">
        <f t="shared" ref="G76:G115" si="5">F76+H76-1</f>
        <v>46219</v>
      </c>
      <c r="H76" s="32">
        <v>14</v>
      </c>
      <c r="I76" s="33">
        <v>46354</v>
      </c>
      <c r="J76" s="31">
        <f t="shared" ref="J76:J115" si="6">I76+K76-1</f>
        <v>46360</v>
      </c>
      <c r="K76" s="32">
        <v>7</v>
      </c>
      <c r="L76" s="34">
        <f t="shared" ref="L76:L115" si="7">SUM(E76+H76+K76)</f>
        <v>28</v>
      </c>
    </row>
    <row r="77" s="30" customFormat="1" ht="66">
      <c r="A77" s="28" t="s">
        <v>97</v>
      </c>
      <c r="B77" s="28" t="s">
        <v>98</v>
      </c>
      <c r="C77" s="47">
        <v>46062</v>
      </c>
      <c r="D77" s="31">
        <f t="shared" si="4"/>
        <v>46068</v>
      </c>
      <c r="E77" s="32">
        <v>7</v>
      </c>
      <c r="F77" s="47">
        <v>46251</v>
      </c>
      <c r="G77" s="31">
        <f t="shared" si="5"/>
        <v>46264</v>
      </c>
      <c r="H77" s="32">
        <v>14</v>
      </c>
      <c r="I77" s="47">
        <v>46314</v>
      </c>
      <c r="J77" s="31">
        <f t="shared" si="6"/>
        <v>46320</v>
      </c>
      <c r="K77" s="32">
        <v>7</v>
      </c>
      <c r="L77" s="34">
        <f t="shared" si="7"/>
        <v>28</v>
      </c>
    </row>
    <row r="78" s="30" customFormat="1" ht="66">
      <c r="A78" s="28" t="s">
        <v>97</v>
      </c>
      <c r="B78" s="28" t="s">
        <v>99</v>
      </c>
      <c r="C78" s="31">
        <v>46125</v>
      </c>
      <c r="D78" s="31">
        <f t="shared" si="4"/>
        <v>46131</v>
      </c>
      <c r="E78" s="32">
        <v>7</v>
      </c>
      <c r="F78" s="33">
        <v>46216</v>
      </c>
      <c r="G78" s="31">
        <f t="shared" si="5"/>
        <v>46229</v>
      </c>
      <c r="H78" s="32">
        <v>14</v>
      </c>
      <c r="I78" s="33">
        <v>46307</v>
      </c>
      <c r="J78" s="31">
        <f t="shared" si="6"/>
        <v>46313</v>
      </c>
      <c r="K78" s="32">
        <v>7</v>
      </c>
      <c r="L78" s="34">
        <f t="shared" si="7"/>
        <v>28</v>
      </c>
    </row>
    <row r="79" s="30" customFormat="1" ht="66">
      <c r="A79" s="28" t="s">
        <v>97</v>
      </c>
      <c r="B79" s="28" t="s">
        <v>100</v>
      </c>
      <c r="C79" s="31">
        <v>46146</v>
      </c>
      <c r="D79" s="31">
        <f t="shared" si="4"/>
        <v>46152</v>
      </c>
      <c r="E79" s="32">
        <v>7</v>
      </c>
      <c r="F79" s="33">
        <v>46216</v>
      </c>
      <c r="G79" s="31">
        <f t="shared" si="5"/>
        <v>46229</v>
      </c>
      <c r="H79" s="32">
        <v>14</v>
      </c>
      <c r="I79" s="33">
        <v>46314</v>
      </c>
      <c r="J79" s="31">
        <f t="shared" si="6"/>
        <v>46320</v>
      </c>
      <c r="K79" s="32">
        <v>7</v>
      </c>
      <c r="L79" s="34">
        <f t="shared" si="7"/>
        <v>28</v>
      </c>
    </row>
    <row r="80" s="30" customFormat="1" ht="66">
      <c r="A80" s="28" t="s">
        <v>97</v>
      </c>
      <c r="B80" s="28" t="s">
        <v>101</v>
      </c>
      <c r="C80" s="31">
        <v>46128</v>
      </c>
      <c r="D80" s="31">
        <f t="shared" si="4"/>
        <v>46141</v>
      </c>
      <c r="E80" s="32">
        <v>14</v>
      </c>
      <c r="F80" s="33">
        <v>46307</v>
      </c>
      <c r="G80" s="31">
        <f t="shared" si="5"/>
        <v>46320</v>
      </c>
      <c r="H80" s="32">
        <v>14</v>
      </c>
      <c r="I80" s="41"/>
      <c r="J80" s="31">
        <f t="shared" si="6"/>
        <v>-1</v>
      </c>
      <c r="K80" s="32">
        <v>0</v>
      </c>
      <c r="L80" s="34">
        <f t="shared" si="7"/>
        <v>28</v>
      </c>
    </row>
    <row r="81" s="30" customFormat="1" ht="66">
      <c r="A81" s="28" t="s">
        <v>97</v>
      </c>
      <c r="B81" s="28" t="s">
        <v>102</v>
      </c>
      <c r="C81" s="31">
        <v>46132</v>
      </c>
      <c r="D81" s="31">
        <f t="shared" si="4"/>
        <v>46138</v>
      </c>
      <c r="E81" s="32">
        <v>7</v>
      </c>
      <c r="F81" s="33">
        <v>46251</v>
      </c>
      <c r="G81" s="31">
        <f t="shared" si="5"/>
        <v>46264</v>
      </c>
      <c r="H81" s="32">
        <v>14</v>
      </c>
      <c r="I81" s="33">
        <v>46370</v>
      </c>
      <c r="J81" s="31">
        <f t="shared" si="6"/>
        <v>46376</v>
      </c>
      <c r="K81" s="32">
        <v>7</v>
      </c>
      <c r="L81" s="34">
        <f t="shared" si="7"/>
        <v>28</v>
      </c>
    </row>
    <row r="82" s="30" customFormat="1" ht="66">
      <c r="A82" s="28" t="s">
        <v>97</v>
      </c>
      <c r="B82" s="28" t="s">
        <v>103</v>
      </c>
      <c r="C82" s="31">
        <v>46125</v>
      </c>
      <c r="D82" s="31">
        <f t="shared" si="4"/>
        <v>46131</v>
      </c>
      <c r="E82" s="32">
        <v>7</v>
      </c>
      <c r="F82" s="33">
        <v>46293</v>
      </c>
      <c r="G82" s="31">
        <f t="shared" si="5"/>
        <v>46306</v>
      </c>
      <c r="H82" s="32">
        <v>14</v>
      </c>
      <c r="I82" s="33">
        <v>46356</v>
      </c>
      <c r="J82" s="31">
        <f t="shared" si="6"/>
        <v>46362</v>
      </c>
      <c r="K82" s="32">
        <v>7</v>
      </c>
      <c r="L82" s="34">
        <f t="shared" si="7"/>
        <v>28</v>
      </c>
    </row>
    <row r="83" s="30" customFormat="1" ht="66">
      <c r="A83" s="28" t="s">
        <v>97</v>
      </c>
      <c r="B83" s="28" t="s">
        <v>104</v>
      </c>
      <c r="C83" s="31">
        <v>46083</v>
      </c>
      <c r="D83" s="31">
        <f t="shared" si="4"/>
        <v>46096</v>
      </c>
      <c r="E83" s="32">
        <v>14</v>
      </c>
      <c r="F83" s="33">
        <v>46321</v>
      </c>
      <c r="G83" s="31">
        <f t="shared" si="5"/>
        <v>46334</v>
      </c>
      <c r="H83" s="32">
        <v>14</v>
      </c>
      <c r="I83" s="41"/>
      <c r="J83" s="31">
        <f t="shared" si="6"/>
        <v>-1</v>
      </c>
      <c r="K83" s="32">
        <v>0</v>
      </c>
      <c r="L83" s="34">
        <f t="shared" si="7"/>
        <v>28</v>
      </c>
    </row>
    <row r="84" s="30" customFormat="1" ht="66">
      <c r="A84" s="28" t="s">
        <v>97</v>
      </c>
      <c r="B84" s="28" t="s">
        <v>105</v>
      </c>
      <c r="C84" s="38">
        <v>46111</v>
      </c>
      <c r="D84" s="31">
        <f t="shared" si="4"/>
        <v>46117</v>
      </c>
      <c r="E84" s="32">
        <v>7</v>
      </c>
      <c r="F84" s="33">
        <v>46174</v>
      </c>
      <c r="G84" s="31">
        <f t="shared" si="5"/>
        <v>46180</v>
      </c>
      <c r="H84" s="32">
        <v>7</v>
      </c>
      <c r="I84" s="33">
        <v>46265</v>
      </c>
      <c r="J84" s="31">
        <f t="shared" si="6"/>
        <v>46278</v>
      </c>
      <c r="K84" s="32">
        <v>14</v>
      </c>
      <c r="L84" s="34">
        <f t="shared" si="7"/>
        <v>28</v>
      </c>
    </row>
    <row r="85" s="30" customFormat="1" ht="66">
      <c r="A85" s="28" t="s">
        <v>97</v>
      </c>
      <c r="B85" s="28" t="s">
        <v>106</v>
      </c>
      <c r="C85" s="31">
        <v>46105</v>
      </c>
      <c r="D85" s="31">
        <v>46111</v>
      </c>
      <c r="E85" s="32">
        <v>7</v>
      </c>
      <c r="F85" s="33">
        <v>46188</v>
      </c>
      <c r="G85" s="31">
        <f t="shared" si="5"/>
        <v>46194</v>
      </c>
      <c r="H85" s="32">
        <v>7</v>
      </c>
      <c r="I85" s="33">
        <v>46259</v>
      </c>
      <c r="J85" s="31">
        <v>46272</v>
      </c>
      <c r="K85" s="32">
        <v>14</v>
      </c>
      <c r="L85" s="34">
        <f t="shared" si="7"/>
        <v>28</v>
      </c>
    </row>
    <row r="86" s="30" customFormat="1" ht="66">
      <c r="A86" s="28" t="s">
        <v>97</v>
      </c>
      <c r="B86" s="28" t="s">
        <v>107</v>
      </c>
      <c r="C86" s="31">
        <v>46132</v>
      </c>
      <c r="D86" s="31">
        <f t="shared" si="4"/>
        <v>46138</v>
      </c>
      <c r="E86" s="32">
        <v>7</v>
      </c>
      <c r="F86" s="33">
        <v>46204</v>
      </c>
      <c r="G86" s="31">
        <f t="shared" si="5"/>
        <v>46210</v>
      </c>
      <c r="H86" s="32">
        <v>7</v>
      </c>
      <c r="I86" s="33">
        <v>46279</v>
      </c>
      <c r="J86" s="31">
        <f t="shared" si="6"/>
        <v>46292</v>
      </c>
      <c r="K86" s="32">
        <v>14</v>
      </c>
      <c r="L86" s="34">
        <f t="shared" si="7"/>
        <v>28</v>
      </c>
    </row>
    <row r="87" s="30" customFormat="1" ht="66">
      <c r="A87" s="28" t="s">
        <v>108</v>
      </c>
      <c r="B87" s="48" t="s">
        <v>109</v>
      </c>
      <c r="C87" s="31">
        <v>46136</v>
      </c>
      <c r="D87" s="31">
        <v>46142</v>
      </c>
      <c r="E87" s="32">
        <v>7</v>
      </c>
      <c r="F87" s="33">
        <v>46188</v>
      </c>
      <c r="G87" s="31">
        <f t="shared" si="5"/>
        <v>46194</v>
      </c>
      <c r="H87" s="32">
        <v>7</v>
      </c>
      <c r="I87" s="33">
        <v>46244</v>
      </c>
      <c r="J87" s="31">
        <v>46257</v>
      </c>
      <c r="K87" s="32">
        <v>14</v>
      </c>
      <c r="L87" s="34">
        <f t="shared" si="7"/>
        <v>28</v>
      </c>
    </row>
    <row r="88" s="30" customFormat="1" ht="66">
      <c r="A88" s="28" t="s">
        <v>110</v>
      </c>
      <c r="B88" s="28" t="s">
        <v>111</v>
      </c>
      <c r="C88" s="49">
        <v>46127</v>
      </c>
      <c r="D88" s="49">
        <v>46131</v>
      </c>
      <c r="E88" s="50">
        <v>7</v>
      </c>
      <c r="F88" s="51">
        <v>46188</v>
      </c>
      <c r="G88" s="31">
        <f t="shared" si="5"/>
        <v>46194</v>
      </c>
      <c r="H88" s="50">
        <v>7</v>
      </c>
      <c r="I88" s="51">
        <v>46279</v>
      </c>
      <c r="J88" s="49">
        <v>46292</v>
      </c>
      <c r="K88" s="50">
        <v>14</v>
      </c>
      <c r="L88" s="34">
        <f t="shared" si="7"/>
        <v>28</v>
      </c>
    </row>
    <row r="89" s="30" customFormat="1" ht="49.5">
      <c r="A89" s="28" t="s">
        <v>110</v>
      </c>
      <c r="B89" s="28" t="s">
        <v>112</v>
      </c>
      <c r="C89" s="31">
        <v>46230</v>
      </c>
      <c r="D89" s="31">
        <f t="shared" si="4"/>
        <v>46243</v>
      </c>
      <c r="E89" s="32">
        <v>14</v>
      </c>
      <c r="F89" s="33">
        <v>46270</v>
      </c>
      <c r="G89" s="31">
        <f t="shared" si="5"/>
        <v>46276</v>
      </c>
      <c r="H89" s="32">
        <v>7</v>
      </c>
      <c r="I89" s="33">
        <v>46321</v>
      </c>
      <c r="J89" s="31">
        <f t="shared" si="6"/>
        <v>46327</v>
      </c>
      <c r="K89" s="32">
        <v>7</v>
      </c>
      <c r="L89" s="34">
        <f t="shared" si="7"/>
        <v>28</v>
      </c>
    </row>
    <row r="90" s="52" customFormat="1" ht="49.5">
      <c r="A90" s="53" t="s">
        <v>110</v>
      </c>
      <c r="B90" s="53" t="s">
        <v>113</v>
      </c>
      <c r="C90" s="54">
        <v>46109</v>
      </c>
      <c r="D90" s="54">
        <v>46117</v>
      </c>
      <c r="E90" s="55">
        <v>7</v>
      </c>
      <c r="F90" s="56">
        <v>46237</v>
      </c>
      <c r="G90" s="54">
        <v>46250</v>
      </c>
      <c r="H90" s="55">
        <v>14</v>
      </c>
      <c r="I90" s="57">
        <v>46321</v>
      </c>
      <c r="J90" s="54">
        <v>46327</v>
      </c>
      <c r="K90" s="55">
        <v>7</v>
      </c>
      <c r="L90" s="58">
        <f t="shared" si="7"/>
        <v>28</v>
      </c>
    </row>
    <row r="91" ht="48" customHeight="1">
      <c r="A91" s="23" t="s">
        <v>110</v>
      </c>
      <c r="B91" s="23" t="s">
        <v>114</v>
      </c>
      <c r="C91" s="24">
        <v>46132</v>
      </c>
      <c r="D91" s="24">
        <f t="shared" si="4"/>
        <v>46138</v>
      </c>
      <c r="E91" s="25">
        <v>7</v>
      </c>
      <c r="F91" s="35">
        <v>46174</v>
      </c>
      <c r="G91" s="25">
        <f t="shared" si="5"/>
        <v>46187</v>
      </c>
      <c r="H91" s="25">
        <v>14</v>
      </c>
      <c r="I91" s="35">
        <v>46349</v>
      </c>
      <c r="J91" s="24">
        <f t="shared" si="6"/>
        <v>46355</v>
      </c>
      <c r="K91" s="25">
        <v>7</v>
      </c>
      <c r="L91" s="27">
        <f t="shared" si="7"/>
        <v>28</v>
      </c>
    </row>
    <row r="92" s="0" customFormat="1" ht="99">
      <c r="A92" s="23" t="s">
        <v>85</v>
      </c>
      <c r="B92" s="23" t="s">
        <v>115</v>
      </c>
      <c r="C92" s="59">
        <v>46188</v>
      </c>
      <c r="D92" s="60">
        <v>46201</v>
      </c>
      <c r="E92" s="25">
        <v>14</v>
      </c>
      <c r="F92" s="59">
        <v>46237</v>
      </c>
      <c r="G92" s="60">
        <v>46243</v>
      </c>
      <c r="H92" s="25">
        <v>7</v>
      </c>
      <c r="I92" s="59">
        <v>46321</v>
      </c>
      <c r="J92" s="60">
        <v>46327</v>
      </c>
      <c r="K92" s="25">
        <v>7</v>
      </c>
      <c r="L92" s="40">
        <f t="shared" si="7"/>
        <v>28</v>
      </c>
    </row>
    <row r="93" s="30" customFormat="1" ht="99">
      <c r="A93" s="28" t="s">
        <v>85</v>
      </c>
      <c r="B93" s="28" t="s">
        <v>116</v>
      </c>
      <c r="C93" s="61">
        <v>46146</v>
      </c>
      <c r="D93" s="31">
        <f t="shared" si="4"/>
        <v>46152</v>
      </c>
      <c r="E93" s="32">
        <v>7</v>
      </c>
      <c r="F93" s="33">
        <v>46202</v>
      </c>
      <c r="G93" s="31">
        <f t="shared" si="5"/>
        <v>46215</v>
      </c>
      <c r="H93" s="39">
        <v>14</v>
      </c>
      <c r="I93" s="33">
        <v>46244</v>
      </c>
      <c r="J93" s="31">
        <f t="shared" si="6"/>
        <v>46250</v>
      </c>
      <c r="K93" s="32">
        <v>7</v>
      </c>
      <c r="L93" s="34">
        <f t="shared" si="7"/>
        <v>28</v>
      </c>
    </row>
    <row r="94" s="30" customFormat="1" ht="12.75">
      <c r="A94" s="28" t="s">
        <v>60</v>
      </c>
      <c r="B94" s="28" t="s">
        <v>117</v>
      </c>
      <c r="C94" s="31">
        <v>46160</v>
      </c>
      <c r="D94" s="31">
        <f t="shared" si="4"/>
        <v>46166</v>
      </c>
      <c r="E94" s="32">
        <v>7</v>
      </c>
      <c r="F94" s="33">
        <v>46230</v>
      </c>
      <c r="G94" s="31">
        <f t="shared" si="5"/>
        <v>46236</v>
      </c>
      <c r="H94" s="32">
        <v>7</v>
      </c>
      <c r="I94" s="33">
        <v>46342</v>
      </c>
      <c r="J94" s="31">
        <f t="shared" si="6"/>
        <v>46355</v>
      </c>
      <c r="K94" s="32">
        <v>14</v>
      </c>
      <c r="L94" s="34">
        <f t="shared" si="7"/>
        <v>28</v>
      </c>
    </row>
    <row r="95" s="30" customFormat="1" ht="12.75">
      <c r="A95" s="62" t="s">
        <v>118</v>
      </c>
      <c r="B95" s="63" t="s">
        <v>119</v>
      </c>
      <c r="C95" s="31">
        <v>46097</v>
      </c>
      <c r="D95" s="31">
        <f t="shared" si="4"/>
        <v>46103</v>
      </c>
      <c r="E95" s="32">
        <v>7</v>
      </c>
      <c r="F95" s="38">
        <v>46265</v>
      </c>
      <c r="G95" s="31">
        <f t="shared" si="5"/>
        <v>46278</v>
      </c>
      <c r="H95" s="32">
        <v>14</v>
      </c>
      <c r="I95" s="33">
        <v>46335</v>
      </c>
      <c r="J95" s="31">
        <f t="shared" si="6"/>
        <v>46341</v>
      </c>
      <c r="K95" s="32">
        <v>7</v>
      </c>
      <c r="L95" s="34">
        <f t="shared" si="7"/>
        <v>28</v>
      </c>
    </row>
    <row r="96" s="30" customFormat="1" ht="30" customHeight="1">
      <c r="A96" s="62" t="s">
        <v>118</v>
      </c>
      <c r="B96" s="64" t="s">
        <v>120</v>
      </c>
      <c r="C96" s="31">
        <v>46117</v>
      </c>
      <c r="D96" s="31">
        <f t="shared" si="4"/>
        <v>46130</v>
      </c>
      <c r="E96" s="32">
        <v>14</v>
      </c>
      <c r="F96" s="33">
        <v>46208</v>
      </c>
      <c r="G96" s="31">
        <f t="shared" si="5"/>
        <v>46214</v>
      </c>
      <c r="H96" s="32">
        <v>7</v>
      </c>
      <c r="I96" s="33">
        <v>46271</v>
      </c>
      <c r="J96" s="31">
        <f t="shared" si="6"/>
        <v>46277</v>
      </c>
      <c r="K96" s="32">
        <v>7</v>
      </c>
      <c r="L96" s="34">
        <f t="shared" si="7"/>
        <v>28</v>
      </c>
    </row>
    <row r="97" ht="12.75">
      <c r="A97" s="23" t="s">
        <v>97</v>
      </c>
      <c r="B97" s="65" t="s">
        <v>121</v>
      </c>
      <c r="C97" s="24">
        <v>46174</v>
      </c>
      <c r="D97" s="24">
        <f t="shared" si="4"/>
        <v>46187</v>
      </c>
      <c r="E97" s="25">
        <v>14</v>
      </c>
      <c r="F97" s="35">
        <v>46307</v>
      </c>
      <c r="G97" s="24">
        <f t="shared" si="5"/>
        <v>46320</v>
      </c>
      <c r="H97" s="25">
        <v>14</v>
      </c>
      <c r="I97" s="66"/>
      <c r="J97" s="24">
        <f t="shared" si="6"/>
        <v>-1</v>
      </c>
      <c r="K97" s="25">
        <v>0</v>
      </c>
      <c r="L97" s="27">
        <f t="shared" si="7"/>
        <v>28</v>
      </c>
    </row>
    <row r="98" ht="12.75">
      <c r="A98" s="67"/>
      <c r="B98" s="67"/>
      <c r="C98" s="24"/>
      <c r="D98" s="24" t="e">
        <f t="shared" si="4"/>
        <v>#VALUE!</v>
      </c>
      <c r="E98" s="25" t="s">
        <v>18</v>
      </c>
      <c r="F98" s="66"/>
      <c r="G98" s="24" t="e">
        <f t="shared" si="5"/>
        <v>#VALUE!</v>
      </c>
      <c r="H98" s="25" t="s">
        <v>18</v>
      </c>
      <c r="I98" s="66"/>
      <c r="J98" s="24" t="e">
        <f t="shared" si="6"/>
        <v>#VALUE!</v>
      </c>
      <c r="K98" s="25" t="s">
        <v>18</v>
      </c>
      <c r="L98" s="27" t="e">
        <f t="shared" si="7"/>
        <v>#VALUE!</v>
      </c>
    </row>
    <row r="99" ht="12.75">
      <c r="A99" s="67"/>
      <c r="B99" s="67"/>
      <c r="C99" s="24"/>
      <c r="D99" s="24" t="e">
        <f t="shared" si="4"/>
        <v>#VALUE!</v>
      </c>
      <c r="E99" s="25" t="s">
        <v>18</v>
      </c>
      <c r="F99" s="66"/>
      <c r="G99" s="24" t="e">
        <f t="shared" si="5"/>
        <v>#VALUE!</v>
      </c>
      <c r="H99" s="25" t="s">
        <v>18</v>
      </c>
      <c r="I99" s="66"/>
      <c r="J99" s="24" t="e">
        <f t="shared" si="6"/>
        <v>#VALUE!</v>
      </c>
      <c r="K99" s="25" t="s">
        <v>18</v>
      </c>
      <c r="L99" s="27" t="e">
        <f t="shared" si="7"/>
        <v>#VALUE!</v>
      </c>
    </row>
    <row r="100" ht="12.75">
      <c r="A100" s="67"/>
      <c r="B100" s="67"/>
      <c r="C100" s="24"/>
      <c r="D100" s="24" t="e">
        <f t="shared" si="4"/>
        <v>#VALUE!</v>
      </c>
      <c r="E100" s="25" t="s">
        <v>18</v>
      </c>
      <c r="F100" s="66"/>
      <c r="G100" s="24" t="e">
        <f t="shared" si="5"/>
        <v>#VALUE!</v>
      </c>
      <c r="H100" s="25" t="s">
        <v>18</v>
      </c>
      <c r="I100" s="66"/>
      <c r="J100" s="24" t="e">
        <f t="shared" si="6"/>
        <v>#VALUE!</v>
      </c>
      <c r="K100" s="25" t="s">
        <v>18</v>
      </c>
      <c r="L100" s="27" t="e">
        <f t="shared" si="7"/>
        <v>#VALUE!</v>
      </c>
    </row>
    <row r="101" ht="12.75">
      <c r="A101" s="67"/>
      <c r="B101" s="67"/>
      <c r="C101" s="24"/>
      <c r="D101" s="24" t="e">
        <f t="shared" si="4"/>
        <v>#VALUE!</v>
      </c>
      <c r="E101" s="25" t="s">
        <v>18</v>
      </c>
      <c r="F101" s="66"/>
      <c r="G101" s="24" t="e">
        <f t="shared" si="5"/>
        <v>#VALUE!</v>
      </c>
      <c r="H101" s="25" t="s">
        <v>18</v>
      </c>
      <c r="I101" s="66"/>
      <c r="J101" s="24" t="e">
        <f t="shared" si="6"/>
        <v>#VALUE!</v>
      </c>
      <c r="K101" s="25" t="s">
        <v>18</v>
      </c>
      <c r="L101" s="27" t="e">
        <f t="shared" si="7"/>
        <v>#VALUE!</v>
      </c>
    </row>
    <row r="102" ht="12.75">
      <c r="A102" s="67"/>
      <c r="B102" s="67"/>
      <c r="C102" s="24"/>
      <c r="D102" s="24" t="e">
        <f t="shared" si="4"/>
        <v>#VALUE!</v>
      </c>
      <c r="E102" s="25" t="s">
        <v>18</v>
      </c>
      <c r="F102" s="66"/>
      <c r="G102" s="24" t="e">
        <f t="shared" si="5"/>
        <v>#VALUE!</v>
      </c>
      <c r="H102" s="25" t="s">
        <v>18</v>
      </c>
      <c r="I102" s="66"/>
      <c r="J102" s="24" t="e">
        <f t="shared" si="6"/>
        <v>#VALUE!</v>
      </c>
      <c r="K102" s="25" t="s">
        <v>18</v>
      </c>
      <c r="L102" s="27" t="e">
        <f t="shared" si="7"/>
        <v>#VALUE!</v>
      </c>
    </row>
    <row r="103" ht="12.75">
      <c r="A103" s="67"/>
      <c r="B103" s="67"/>
      <c r="C103" s="24"/>
      <c r="D103" s="24" t="e">
        <f t="shared" si="4"/>
        <v>#VALUE!</v>
      </c>
      <c r="E103" s="25" t="s">
        <v>18</v>
      </c>
      <c r="F103" s="66"/>
      <c r="G103" s="24" t="e">
        <f t="shared" si="5"/>
        <v>#VALUE!</v>
      </c>
      <c r="H103" s="25" t="s">
        <v>18</v>
      </c>
      <c r="I103" s="66"/>
      <c r="J103" s="24" t="e">
        <f t="shared" si="6"/>
        <v>#VALUE!</v>
      </c>
      <c r="K103" s="25" t="s">
        <v>18</v>
      </c>
      <c r="L103" s="27" t="e">
        <f t="shared" si="7"/>
        <v>#VALUE!</v>
      </c>
    </row>
    <row r="104" ht="12.75">
      <c r="A104" s="67"/>
      <c r="B104" s="67"/>
      <c r="C104" s="24"/>
      <c r="D104" s="24" t="e">
        <f t="shared" si="4"/>
        <v>#VALUE!</v>
      </c>
      <c r="E104" s="25" t="s">
        <v>18</v>
      </c>
      <c r="F104" s="66"/>
      <c r="G104" s="24" t="e">
        <f t="shared" si="5"/>
        <v>#VALUE!</v>
      </c>
      <c r="H104" s="25" t="s">
        <v>18</v>
      </c>
      <c r="I104" s="66"/>
      <c r="J104" s="24" t="e">
        <f t="shared" si="6"/>
        <v>#VALUE!</v>
      </c>
      <c r="K104" s="25" t="s">
        <v>18</v>
      </c>
      <c r="L104" s="27" t="e">
        <f t="shared" si="7"/>
        <v>#VALUE!</v>
      </c>
    </row>
    <row r="105" ht="12.75">
      <c r="A105" s="67"/>
      <c r="B105" s="67"/>
      <c r="C105" s="24"/>
      <c r="D105" s="24" t="e">
        <f t="shared" si="4"/>
        <v>#VALUE!</v>
      </c>
      <c r="E105" s="25" t="s">
        <v>18</v>
      </c>
      <c r="F105" s="66"/>
      <c r="G105" s="24" t="e">
        <f t="shared" si="5"/>
        <v>#VALUE!</v>
      </c>
      <c r="H105" s="25" t="s">
        <v>18</v>
      </c>
      <c r="I105" s="66"/>
      <c r="J105" s="24" t="e">
        <f t="shared" si="6"/>
        <v>#VALUE!</v>
      </c>
      <c r="K105" s="25" t="s">
        <v>18</v>
      </c>
      <c r="L105" s="27" t="e">
        <f t="shared" si="7"/>
        <v>#VALUE!</v>
      </c>
    </row>
    <row r="106" ht="12.75">
      <c r="A106" s="67"/>
      <c r="B106" s="67"/>
      <c r="C106" s="24"/>
      <c r="D106" s="24" t="e">
        <f t="shared" si="4"/>
        <v>#VALUE!</v>
      </c>
      <c r="E106" s="25" t="s">
        <v>18</v>
      </c>
      <c r="F106" s="66"/>
      <c r="G106" s="24" t="e">
        <f t="shared" si="5"/>
        <v>#VALUE!</v>
      </c>
      <c r="H106" s="25" t="s">
        <v>18</v>
      </c>
      <c r="I106" s="66"/>
      <c r="J106" s="24" t="e">
        <f t="shared" si="6"/>
        <v>#VALUE!</v>
      </c>
      <c r="K106" s="25" t="s">
        <v>18</v>
      </c>
      <c r="L106" s="27" t="e">
        <f t="shared" si="7"/>
        <v>#VALUE!</v>
      </c>
    </row>
    <row r="107" ht="12.75">
      <c r="A107" s="67"/>
      <c r="B107" s="67"/>
      <c r="C107" s="24"/>
      <c r="D107" s="24" t="e">
        <f t="shared" si="4"/>
        <v>#VALUE!</v>
      </c>
      <c r="E107" s="25" t="s">
        <v>18</v>
      </c>
      <c r="F107" s="66"/>
      <c r="G107" s="24" t="e">
        <f t="shared" si="5"/>
        <v>#VALUE!</v>
      </c>
      <c r="H107" s="25" t="s">
        <v>18</v>
      </c>
      <c r="I107" s="66"/>
      <c r="J107" s="24" t="e">
        <f t="shared" si="6"/>
        <v>#VALUE!</v>
      </c>
      <c r="K107" s="25" t="s">
        <v>18</v>
      </c>
      <c r="L107" s="27" t="e">
        <f t="shared" si="7"/>
        <v>#VALUE!</v>
      </c>
    </row>
    <row r="108" ht="12.75">
      <c r="A108" s="67"/>
      <c r="B108" s="67"/>
      <c r="C108" s="24"/>
      <c r="D108" s="24" t="e">
        <f t="shared" si="4"/>
        <v>#VALUE!</v>
      </c>
      <c r="E108" s="25" t="s">
        <v>18</v>
      </c>
      <c r="F108" s="66"/>
      <c r="G108" s="24" t="e">
        <f t="shared" si="5"/>
        <v>#VALUE!</v>
      </c>
      <c r="H108" s="25" t="s">
        <v>18</v>
      </c>
      <c r="I108" s="66"/>
      <c r="J108" s="24" t="e">
        <f t="shared" si="6"/>
        <v>#VALUE!</v>
      </c>
      <c r="K108" s="25" t="s">
        <v>18</v>
      </c>
      <c r="L108" s="27" t="e">
        <f t="shared" si="7"/>
        <v>#VALUE!</v>
      </c>
    </row>
    <row r="109" ht="12.75">
      <c r="A109" s="67"/>
      <c r="B109" s="67"/>
      <c r="C109" s="24"/>
      <c r="D109" s="24" t="e">
        <f t="shared" si="4"/>
        <v>#VALUE!</v>
      </c>
      <c r="E109" s="25" t="s">
        <v>18</v>
      </c>
      <c r="F109" s="66"/>
      <c r="G109" s="24" t="e">
        <f t="shared" si="5"/>
        <v>#VALUE!</v>
      </c>
      <c r="H109" s="25" t="s">
        <v>18</v>
      </c>
      <c r="I109" s="66"/>
      <c r="J109" s="24" t="e">
        <f t="shared" si="6"/>
        <v>#VALUE!</v>
      </c>
      <c r="K109" s="25" t="s">
        <v>18</v>
      </c>
      <c r="L109" s="27" t="e">
        <f t="shared" si="7"/>
        <v>#VALUE!</v>
      </c>
    </row>
    <row r="110" ht="12.75">
      <c r="A110" s="67"/>
      <c r="B110" s="67"/>
      <c r="C110" s="24"/>
      <c r="D110" s="24" t="e">
        <f t="shared" si="4"/>
        <v>#VALUE!</v>
      </c>
      <c r="E110" s="25" t="s">
        <v>18</v>
      </c>
      <c r="F110" s="66"/>
      <c r="G110" s="24" t="e">
        <f t="shared" si="5"/>
        <v>#VALUE!</v>
      </c>
      <c r="H110" s="25" t="s">
        <v>18</v>
      </c>
      <c r="I110" s="66"/>
      <c r="J110" s="24" t="e">
        <f t="shared" si="6"/>
        <v>#VALUE!</v>
      </c>
      <c r="K110" s="25" t="s">
        <v>18</v>
      </c>
      <c r="L110" s="27" t="e">
        <f t="shared" si="7"/>
        <v>#VALUE!</v>
      </c>
    </row>
    <row r="111" ht="12.75">
      <c r="A111" s="67"/>
      <c r="B111" s="67"/>
      <c r="C111" s="24"/>
      <c r="D111" s="24" t="e">
        <f t="shared" si="4"/>
        <v>#VALUE!</v>
      </c>
      <c r="E111" s="25" t="s">
        <v>18</v>
      </c>
      <c r="F111" s="66"/>
      <c r="G111" s="24" t="e">
        <f t="shared" si="5"/>
        <v>#VALUE!</v>
      </c>
      <c r="H111" s="25" t="s">
        <v>18</v>
      </c>
      <c r="I111" s="66"/>
      <c r="J111" s="24" t="e">
        <f t="shared" si="6"/>
        <v>#VALUE!</v>
      </c>
      <c r="K111" s="25" t="s">
        <v>18</v>
      </c>
      <c r="L111" s="27" t="e">
        <f t="shared" si="7"/>
        <v>#VALUE!</v>
      </c>
    </row>
    <row r="112" ht="12.75">
      <c r="A112" s="67"/>
      <c r="B112" s="67"/>
      <c r="C112" s="24"/>
      <c r="D112" s="24" t="e">
        <f t="shared" si="4"/>
        <v>#VALUE!</v>
      </c>
      <c r="E112" s="25" t="s">
        <v>18</v>
      </c>
      <c r="F112" s="66"/>
      <c r="G112" s="24" t="e">
        <f t="shared" si="5"/>
        <v>#VALUE!</v>
      </c>
      <c r="H112" s="25" t="s">
        <v>18</v>
      </c>
      <c r="I112" s="66"/>
      <c r="J112" s="24" t="e">
        <f t="shared" si="6"/>
        <v>#VALUE!</v>
      </c>
      <c r="K112" s="25" t="s">
        <v>18</v>
      </c>
      <c r="L112" s="27" t="e">
        <f t="shared" si="7"/>
        <v>#VALUE!</v>
      </c>
    </row>
    <row r="113" ht="12.75">
      <c r="A113" s="67"/>
      <c r="B113" s="67"/>
      <c r="C113" s="24"/>
      <c r="D113" s="24" t="e">
        <f t="shared" si="4"/>
        <v>#VALUE!</v>
      </c>
      <c r="E113" s="25" t="s">
        <v>18</v>
      </c>
      <c r="F113" s="66"/>
      <c r="G113" s="24" t="e">
        <f t="shared" si="5"/>
        <v>#VALUE!</v>
      </c>
      <c r="H113" s="25" t="s">
        <v>18</v>
      </c>
      <c r="I113" s="66"/>
      <c r="J113" s="24" t="e">
        <f t="shared" si="6"/>
        <v>#VALUE!</v>
      </c>
      <c r="K113" s="25" t="s">
        <v>18</v>
      </c>
      <c r="L113" s="27" t="e">
        <f t="shared" si="7"/>
        <v>#VALUE!</v>
      </c>
    </row>
    <row r="114" ht="12.75">
      <c r="A114" s="67"/>
      <c r="B114" s="67"/>
      <c r="C114" s="24"/>
      <c r="D114" s="24" t="e">
        <f t="shared" si="4"/>
        <v>#VALUE!</v>
      </c>
      <c r="E114" s="25" t="s">
        <v>18</v>
      </c>
      <c r="F114" s="66"/>
      <c r="G114" s="24" t="e">
        <f t="shared" si="5"/>
        <v>#VALUE!</v>
      </c>
      <c r="H114" s="25" t="s">
        <v>18</v>
      </c>
      <c r="I114" s="66"/>
      <c r="J114" s="24" t="e">
        <f t="shared" si="6"/>
        <v>#VALUE!</v>
      </c>
      <c r="K114" s="25" t="s">
        <v>18</v>
      </c>
      <c r="L114" s="27" t="e">
        <f t="shared" si="7"/>
        <v>#VALUE!</v>
      </c>
    </row>
    <row r="115" ht="12.75">
      <c r="A115" s="67"/>
      <c r="B115" s="67"/>
      <c r="C115" s="24"/>
      <c r="D115" s="24" t="e">
        <f t="shared" si="4"/>
        <v>#VALUE!</v>
      </c>
      <c r="E115" s="25" t="s">
        <v>18</v>
      </c>
      <c r="F115" s="66"/>
      <c r="G115" s="24" t="e">
        <f t="shared" si="5"/>
        <v>#VALUE!</v>
      </c>
      <c r="H115" s="25" t="s">
        <v>18</v>
      </c>
      <c r="I115" s="66"/>
      <c r="J115" s="24" t="e">
        <f t="shared" si="6"/>
        <v>#VALUE!</v>
      </c>
      <c r="K115" s="25" t="s">
        <v>18</v>
      </c>
      <c r="L115" s="27" t="e">
        <f t="shared" si="7"/>
        <v>#VALUE!</v>
      </c>
    </row>
    <row r="116" ht="12.75"/>
    <row r="117" ht="12.75"/>
    <row r="118" ht="12.75"/>
    <row r="119" ht="12.75"/>
    <row r="120" ht="12.75"/>
    <row r="121" ht="12.75"/>
    <row r="122" ht="12.75"/>
    <row r="123" ht="12.75"/>
    <row r="124" ht="12.75"/>
    <row r="125" ht="12.75"/>
  </sheetData>
  <autoFilter ref="A11:L115"/>
  <mergeCells count="7">
    <mergeCell ref="B4:C4"/>
    <mergeCell ref="B5:G5"/>
    <mergeCell ref="B6:F6"/>
    <mergeCell ref="B7:F7"/>
    <mergeCell ref="C9:E9"/>
    <mergeCell ref="F9:H9"/>
    <mergeCell ref="I9:K9"/>
  </mergeCells>
  <printOptions headings="0" gridLines="0"/>
  <pageMargins left="0.69999999999999996" right="0.69999999999999996" top="0.75" bottom="0.7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cellIs" priority="1" operator="equal" id="{00550068-0073-440E-8BE7-00CE00FD0064}">
            <xm:f>28</xm:f>
            <x14:dxf>
              <font>
                <color theme="1" tint="0"/>
              </font>
              <fill>
                <patternFill patternType="solid">
                  <fgColor rgb="FF70AD47"/>
                  <bgColor rgb="FF70AD47"/>
                </patternFill>
              </fill>
            </x14:dxf>
          </x14:cfRule>
          <xm:sqref>L13 L14 L15 L16 L51 L54 L54 L54 L54 L55 L56 L56 L57 L58 L59 L60 L61 L62 L63 L64 L64 L65 L66 L67 L68 L69 L70 L71 L71 L73 L74 L75 L76 L77 L78 L79 L80 L80 L81 L82 L83 L83 L84 L85 L85 L86 L86 L87 L88 L87 L88 L89 L90 L91 L92 L94 L95 L94 L95 L96 L97 L98 L99 L100 L101 L102 L103 L104 L105 L106 L107 L108 L109 L110 L111 L112 L113 L114 L115 L17 L18 L19 L20 L21 L22 L23 L24 L25 L26 L27 L28 L29 L30 L31 L32 L33 L34 L35 L36 L37 L38 L39 L40 L41 L42 L43 L44 L45 L46 L47 L48 L49 L50 L52 L53 L98 L72 L93</xm:sqref>
        </x14:conditionalFormatting>
        <x14:conditionalFormatting xmlns:xm="http://schemas.microsoft.com/office/excel/2006/main">
          <x14:cfRule type="cellIs" priority="1" operator="equal" id="{00FF00D4-00F1-45EA-8E43-00A500C100F1}">
            <xm:f>28</xm:f>
            <x14:dxf>
              <font>
                <color theme="1" tint="0"/>
              </font>
              <fill>
                <patternFill patternType="solid">
                  <fgColor rgb="FF70AD47"/>
                  <bgColor rgb="FF70AD47"/>
                </patternFill>
              </fill>
            </x14:dxf>
          </x14:cfRule>
          <xm:sqref>L12</xm:sqref>
        </x14:conditionalFormatting>
      </x14:conditionalFormattings>
    </ext>
    <ext xmlns:x14="http://schemas.microsoft.com/office/spreadsheetml/2009/9/main" uri="{CCE6A557-97BC-4b89-ADB6-D9C93CAAB3DF}">
      <x14:dataValidations xmlns:xm="http://schemas.microsoft.com/office/excel/2006/main" count="10" disablePrompts="0">
        <x14:dataValidation xr:uid="{007200A6-006D-400A-A303-00690061005E}" type="list" allowBlank="0" errorStyle="stop" imeMode="noControl" operator="equal" showDropDown="0" showErrorMessage="1" showInputMessage="1">
          <x14:formula1>
            <xm:f>$G$1:$G$3</xm:f>
          </x14:formula1>
          <xm:sqref>H94 H95 H96 H97 H98 H99 H100 H101 H102 H103 H104 H105 H106 H107 H108 H109 H110 H111 H112 H113 H114 H115</xm:sqref>
        </x14:dataValidation>
        <x14:dataValidation xr:uid="{00E3001A-006C-4D7E-9906-00B100030075}" type="list" allowBlank="0" errorStyle="stop" imeMode="noControl" operator="equal" showDropDown="0" showErrorMessage="1" showInputMessage="1">
          <x14:formula1>
            <xm:f>$G$1:$G$3</xm:f>
          </x14:formula1>
          <xm:sqref>K13 K14 K15 K16 K17 K18 K19 K20 K21 K22 K23 K24 K25 K26 K27 K28 K29 K30 K31 K32 K33 K34 K35 K36 K37 K38 K39 K40 K41 K42 K43 K44 K45 K46 K47 K48 K49 K50 K51 K54 K55 K56 K57 K58 K59 K60 K61 K62 K63 K64 K65 K66 K67 K68 K69 K70 K71 K73 K74 K75 K76 K77 K78 K79 K80 K81 K82 K83 K84 K85 K86 K87 K88 K89 K90 K91 K92 K93 K94 K95 K96 K97 K98 K99 K100 K101 K102 K103 K104 K105 K106 K107 K108 K109 K110 K111 K112 K113 K114 K115</xm:sqref>
        </x14:dataValidation>
        <x14:dataValidation xr:uid="{004D00CD-00A5-4B5B-A731-003D00E80069}" type="list" allowBlank="0" errorStyle="stop" imeMode="noControl" operator="equal" showDropDown="0" showErrorMessage="1" showInputMessage="1">
          <x14:formula1>
            <xm:f>$G$1:$G$3</xm:f>
          </x14:formula1>
          <xm:sqref>H13 H14 H15 H16 H17 H18 H19 H20 H21 H22 H23 H24 H25 H26 H27 H28 H30 H31 H32 H33 H34 H35 H36 H37 H38 H39 H40 H41 H42 H43 H44 H45 H46 H47 H48 H49 H50 H51 H54 H55 H56 H57 H58 H59 H60 H61 H62 H63 H64 H65 H66 H67 H68 H69 H70 H71 H73 H74 H75 H76 H77 H78 H79 H80 H81 H82 H83 H84 H85 H86 H87 H88 H89 H90 H91 H92</xm:sqref>
        </x14:dataValidation>
        <x14:dataValidation xr:uid="{00C10050-00E1-4163-BAD6-000D00720067}" type="list" allowBlank="0" errorStyle="stop" imeMode="noControl" operator="equal" showDropDown="0" showErrorMessage="1" showInputMessage="1">
          <x14:formula1>
            <xm:f>$G$1:$G$3</xm:f>
          </x14:formula1>
          <xm:sqref>E13 E14 E15 E16 E17 E18 E19 E20 E21 E22 E23 E24 E25 E26 E27 E28 E29 E30 E31 E32 E33 E34 E35 E36 E37 E38 E39 E40 E41 E42 E43 E44 E45 E46 E47 E48 E49 E50 E51 E54 E55 E56 E58 E59 E60 E61 E62 E63 E64 E65 E66 E67 E68 E69 E70 E71 E73 E74 E75 E76 E77 E78 E79 E80 E81 E82 E83 E84 E85 E86 E87 E88 E89 E90 E91 E92 E93 E94 E95 E96 E97 E98 E99 E100 E101 E102 E103 E104 E105 E106 E107 E108 E109 E110 E111 E112 E113 E114 E115</xm:sqref>
        </x14:dataValidation>
        <x14:dataValidation xr:uid="{009C00BF-00B3-4526-8F1E-000D00B90042}" type="list" allowBlank="0" errorStyle="stop" imeMode="noControl" operator="equal" showDropDown="0" showErrorMessage="1" showInputMessage="1">
          <x14:formula1>
            <xm:f>$G$1:$G$3</xm:f>
          </x14:formula1>
          <xm:sqref>E12</xm:sqref>
        </x14:dataValidation>
        <x14:dataValidation xr:uid="{00460018-0004-4EDD-9914-00EA007100B7}" type="list" allowBlank="0" errorStyle="stop" imeMode="noControl" operator="equal" showDropDown="0" showErrorMessage="1" showInputMessage="1">
          <x14:formula1>
            <xm:f>$G$1:$G$3</xm:f>
          </x14:formula1>
          <xm:sqref>H12</xm:sqref>
        </x14:dataValidation>
        <x14:dataValidation xr:uid="{00620094-008B-4FFB-B061-00BE005500EC}" type="list" allowBlank="0" errorStyle="stop" imeMode="noControl" operator="equal" showDropDown="0" showErrorMessage="1" showInputMessage="1">
          <x14:formula1>
            <xm:f>$G$1:$G$3</xm:f>
          </x14:formula1>
          <xm:sqref>K12</xm:sqref>
        </x14:dataValidation>
        <x14:dataValidation xr:uid="{00C50021-0003-4682-83A7-00B300A100FD}" type="list" allowBlank="0" errorStyle="stop" imeMode="noControl" operator="equal" showDropDown="0" showErrorMessage="1" showInputMessage="1">
          <x14:formula1>
            <xm:f>$G$1:$G$3</xm:f>
          </x14:formula1>
          <xm:sqref>E57</xm:sqref>
        </x14:dataValidation>
        <x14:dataValidation xr:uid="{0098007F-00D1-49E1-83A6-0012002E00BC}" type="list" allowBlank="0" errorStyle="stop" imeMode="noControl" operator="equal" showDropDown="0" showErrorMessage="1" showInputMessage="1">
          <x14:formula1>
            <xm:f>$G$1:$G$3</xm:f>
          </x14:formula1>
          <xm:sqref>H93</xm:sqref>
        </x14:dataValidation>
        <x14:dataValidation xr:uid="{00590066-00E6-426D-AB9A-00CE00690042}" type="list" allowBlank="0" errorStyle="stop" imeMode="noControl" operator="equal" showDropDown="0" showErrorMessage="1" showInputMessage="1">
          <x14:formula1>
            <xm:f>$G$1:$G$3</xm:f>
          </x14:formula1>
          <xm:sqref>H29</xm:sqref>
        </x14:dataValidation>
      </x14:dataValidations>
    </ext>
    <ext uri="{231B7EB2-2AFC-4442-B178-5FFDF5851E7C}">
      <userProtectedRanges>
        <userProtectedRange name="строка 12" sqref="12:12">
          <users>
            <user id="1130000063737399" name="Иван Коробко"/>
          </users>
        </userProtectedRange>
      </userProtectedRanges>
    </ext>
  </extLst>
</worksheet>
</file>

<file path=docProps/app.xml><?xml version="1.0" encoding="utf-8"?>
<Properties xmlns="http://schemas.openxmlformats.org/officeDocument/2006/extended-properties" xmlns:vt="http://schemas.openxmlformats.org/officeDocument/2006/docPropsVTypes">
  <Application>R7-Office/2024.1.1.375</Application>
  <DocSecurity>0</DocSecurity>
  <HyperlinksChanged>false</HyperlinksChanged>
  <LinksUpToDate>false</LinksUpToDate>
  <ScaleCrop>false</ScaleCrop>
  <SharedDoc>false</SharedDoc>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ru-RU</dc:language>
  <cp:lastModifiedBy>Иван Коробко</cp:lastModifiedBy>
  <cp:revision>64</cp:revision>
  <dcterms:created xsi:type="dcterms:W3CDTF">2023-08-25T14:01:22Z</dcterms:created>
  <dcterms:modified xsi:type="dcterms:W3CDTF">2026-04-01T09:08:20Z</dcterms:modified>
</cp:coreProperties>
</file>