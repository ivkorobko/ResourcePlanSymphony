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blagushina\Downloads\"/>
    </mc:Choice>
  </mc:AlternateContent>
  <xr:revisionPtr revIDLastSave="0" documentId="13_ncr:1_{A3D0D659-4A5A-4C5A-93F4-C245E9924877}" xr6:coauthVersionLast="36" xr6:coauthVersionMax="36" xr10:uidLastSave="{00000000-0000-0000-0000-000000000000}"/>
  <bookViews>
    <workbookView xWindow="0" yWindow="0" windowWidth="18984" windowHeight="8484" activeTab="1" xr2:uid="{5E6FCA0E-46C0-40E8-9B52-9261C0F795EB}"/>
  </bookViews>
  <sheets>
    <sheet name="Сводный ресурсный план" sheetId="1" r:id="rId1"/>
    <sheet name="Детальный ресурсный план " sheetId="2" r:id="rId2"/>
    <sheet name="Типовые задачи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2" l="1"/>
  <c r="R13" i="2"/>
  <c r="R10" i="2"/>
  <c r="L10" i="2"/>
  <c r="D13" i="2"/>
  <c r="E13" i="2"/>
  <c r="F13" i="2"/>
  <c r="C13" i="2"/>
  <c r="G10" i="2"/>
  <c r="G13" i="2" l="1"/>
  <c r="Q18" i="2"/>
  <c r="Q13" i="2"/>
  <c r="Q8" i="2"/>
  <c r="P18" i="2"/>
  <c r="P13" i="2"/>
  <c r="P8" i="2"/>
  <c r="E18" i="2"/>
  <c r="E8" i="2"/>
  <c r="R16" i="2" l="1"/>
  <c r="R17" i="2"/>
  <c r="R15" i="2"/>
  <c r="L16" i="2"/>
  <c r="L17" i="2"/>
  <c r="L15" i="2"/>
  <c r="N18" i="2"/>
  <c r="O18" i="2"/>
  <c r="M18" i="2"/>
  <c r="N13" i="2"/>
  <c r="O13" i="2"/>
  <c r="M13" i="2"/>
  <c r="I13" i="2"/>
  <c r="J13" i="2"/>
  <c r="K13" i="2"/>
  <c r="H13" i="2"/>
  <c r="I18" i="2"/>
  <c r="J18" i="2"/>
  <c r="K18" i="2"/>
  <c r="H18" i="2"/>
  <c r="C18" i="2"/>
  <c r="D18" i="2"/>
  <c r="F18" i="2"/>
  <c r="G15" i="2"/>
  <c r="G16" i="2"/>
  <c r="G17" i="2"/>
  <c r="G6" i="2"/>
  <c r="G5" i="2"/>
  <c r="R6" i="2"/>
  <c r="R7" i="2"/>
  <c r="R5" i="2"/>
  <c r="L6" i="2"/>
  <c r="L7" i="2"/>
  <c r="L5" i="2"/>
  <c r="H8" i="2"/>
  <c r="R18" i="2" l="1"/>
  <c r="G18" i="2"/>
  <c r="L18" i="2"/>
  <c r="C16" i="1"/>
  <c r="H9" i="1"/>
  <c r="H8" i="1"/>
  <c r="H7" i="1"/>
  <c r="L11" i="2" l="1"/>
  <c r="L12" i="2"/>
  <c r="R11" i="2"/>
  <c r="G34" i="1"/>
  <c r="C34" i="1" s="1"/>
  <c r="R12" i="2"/>
  <c r="G42" i="1"/>
  <c r="G12" i="2"/>
  <c r="G7" i="2"/>
  <c r="G11" i="2"/>
  <c r="G26" i="1"/>
  <c r="F26" i="1" s="1"/>
  <c r="C8" i="2"/>
  <c r="D8" i="2"/>
  <c r="F8" i="2"/>
  <c r="I8" i="2"/>
  <c r="J8" i="2"/>
  <c r="K8" i="2"/>
  <c r="M8" i="2"/>
  <c r="N8" i="2"/>
  <c r="O8" i="2"/>
  <c r="L8" i="2"/>
  <c r="G32" i="1" s="1"/>
  <c r="F32" i="1" s="1"/>
  <c r="G8" i="2" l="1"/>
  <c r="G24" i="1" s="1"/>
  <c r="C24" i="1" s="1"/>
  <c r="G33" i="1"/>
  <c r="F33" i="1" s="1"/>
  <c r="R8" i="2"/>
  <c r="G40" i="1" s="1"/>
  <c r="G25" i="1"/>
  <c r="F25" i="1" s="1"/>
  <c r="G41" i="1"/>
  <c r="F41" i="1" s="1"/>
  <c r="F42" i="1"/>
  <c r="G49" i="1"/>
  <c r="F34" i="1"/>
  <c r="E34" i="1"/>
  <c r="E42" i="1"/>
  <c r="C32" i="1"/>
  <c r="D32" i="1"/>
  <c r="C42" i="1"/>
  <c r="E26" i="1"/>
  <c r="E32" i="1"/>
  <c r="D42" i="1"/>
  <c r="D26" i="1"/>
  <c r="C26" i="1"/>
  <c r="D34" i="1"/>
  <c r="B50" i="1"/>
  <c r="B43" i="1"/>
  <c r="B35" i="1"/>
  <c r="F18" i="1"/>
  <c r="F17" i="1"/>
  <c r="F16" i="1"/>
  <c r="E18" i="1"/>
  <c r="E17" i="1"/>
  <c r="E16" i="1"/>
  <c r="D18" i="1"/>
  <c r="C18" i="1"/>
  <c r="D17" i="1"/>
  <c r="D16" i="1"/>
  <c r="C17" i="1"/>
  <c r="C9" i="1"/>
  <c r="C6" i="1"/>
  <c r="G35" i="1" l="1"/>
  <c r="E25" i="1"/>
  <c r="D25" i="1"/>
  <c r="G43" i="1"/>
  <c r="C25" i="1"/>
  <c r="F40" i="1"/>
  <c r="F43" i="1" s="1"/>
  <c r="E40" i="1"/>
  <c r="D40" i="1"/>
  <c r="C40" i="1"/>
  <c r="C33" i="1"/>
  <c r="C35" i="1" s="1"/>
  <c r="D33" i="1"/>
  <c r="D35" i="1" s="1"/>
  <c r="E33" i="1"/>
  <c r="E35" i="1" s="1"/>
  <c r="E41" i="1"/>
  <c r="C41" i="1"/>
  <c r="F48" i="1"/>
  <c r="D41" i="1"/>
  <c r="G48" i="1"/>
  <c r="F49" i="1"/>
  <c r="G47" i="1"/>
  <c r="D49" i="1"/>
  <c r="F35" i="1"/>
  <c r="F24" i="1"/>
  <c r="D24" i="1"/>
  <c r="E24" i="1"/>
  <c r="G27" i="1"/>
  <c r="C49" i="1"/>
  <c r="E49" i="1"/>
  <c r="G17" i="1"/>
  <c r="C27" i="1"/>
  <c r="E19" i="1"/>
  <c r="G16" i="1"/>
  <c r="G18" i="1"/>
  <c r="F19" i="1"/>
  <c r="C19" i="1"/>
  <c r="D19" i="1"/>
  <c r="C5" i="1"/>
  <c r="B27" i="1"/>
  <c r="B19" i="1"/>
  <c r="D43" i="1" l="1"/>
  <c r="D47" i="1"/>
  <c r="E48" i="1"/>
  <c r="C48" i="1"/>
  <c r="F47" i="1"/>
  <c r="F50" i="1" s="1"/>
  <c r="E43" i="1"/>
  <c r="C43" i="1"/>
  <c r="C47" i="1"/>
  <c r="E47" i="1"/>
  <c r="D48" i="1"/>
  <c r="F27" i="1"/>
  <c r="D27" i="1"/>
  <c r="E27" i="1"/>
  <c r="G19" i="1"/>
  <c r="D50" i="1" l="1"/>
  <c r="C50" i="1"/>
  <c r="E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Валерия Благушина</author>
  </authors>
  <commentList>
    <comment ref="M6" authorId="0" shapeId="0" xr:uid="{7C35A1EA-8A0C-42A2-A0B0-BB6BDB31031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01.06.2026 -07.06.2026</t>
        </r>
      </text>
    </comment>
    <comment ref="N6" authorId="0" shapeId="0" xr:uid="{097627E6-6598-4F61-AF7D-63A95C16C057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01.06.2026 -07.06.2026</t>
        </r>
      </text>
    </comment>
    <comment ref="C7" authorId="0" shapeId="0" xr:uid="{C0C6D300-7841-4B93-8EF5-D4CB386DFED1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D7" authorId="0" shapeId="0" xr:uid="{DDAEF6F2-5628-4BFE-A5BC-418FBDA8DCC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E7" authorId="0" shapeId="0" xr:uid="{9614B647-6177-4FFF-B15D-BE29A502ED0F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C10" authorId="0" shapeId="0" xr:uid="{0E8559A5-1B43-40DE-B85D-982F2F77CE96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30.03.2026 по 05.04.2026</t>
        </r>
      </text>
    </comment>
    <comment ref="D12" authorId="0" shapeId="0" xr:uid="{5DC1F8A5-2496-46FB-81B5-856A2AA8B0E2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13.04.2026 по 19.04.2026</t>
        </r>
      </text>
    </comment>
    <comment ref="E12" authorId="0" shapeId="0" xr:uid="{2A3476DE-50B8-42EC-B27E-835DF858B7E3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13.04.2026 по 19.04.2026</t>
        </r>
      </text>
    </comment>
    <comment ref="H12" authorId="0" shapeId="0" xr:uid="{4D95B52A-BDC0-4522-84B9-231C846CE24E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04.05.2026 по 10.05.2026</t>
        </r>
      </text>
    </comment>
    <comment ref="I12" authorId="0" shapeId="0" xr:uid="{58521881-2A49-4278-AAAB-765FC4ECAA02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04.05.2026 по 10.05.2026</t>
        </r>
      </text>
    </comment>
    <comment ref="E15" authorId="0" shapeId="0" xr:uid="{3A93C43B-65C3-4E0C-B4B9-453AC00103A7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20.04.2026 по 26.04.2026</t>
        </r>
      </text>
    </comment>
    <comment ref="F15" authorId="0" shapeId="0" xr:uid="{3F4F4D16-5215-4465-9806-D5A5195549C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20.04.2026 по 26.04.2026</t>
        </r>
      </text>
    </comment>
    <comment ref="C16" authorId="0" shapeId="0" xr:uid="{C7DC1A51-E2E9-4E04-A436-0B4D3A126DC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D16" authorId="0" shapeId="0" xr:uid="{FB69286E-6B91-43DC-94FE-69F97B1EDA21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E16" authorId="0" shapeId="0" xr:uid="{F307F9A5-0E1E-44D9-9F46-004ADF295427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O16" authorId="0" shapeId="0" xr:uid="{8C1CD4DF-5D6E-4F5D-AE5A-1E2E9F371EBD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15.06.2026 по 21.06.2026</t>
        </r>
      </text>
    </comment>
    <comment ref="P16" authorId="0" shapeId="0" xr:uid="{92EF3CF5-B65A-4106-BC22-015860F3697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15.06.2026 по 21.06.2026</t>
        </r>
      </text>
    </comment>
  </commentList>
</comments>
</file>

<file path=xl/sharedStrings.xml><?xml version="1.0" encoding="utf-8"?>
<sst xmlns="http://schemas.openxmlformats.org/spreadsheetml/2006/main" count="150" uniqueCount="84">
  <si>
    <t>Ресурсы</t>
  </si>
  <si>
    <t>Ключевые задачи</t>
  </si>
  <si>
    <t>Тестирование</t>
  </si>
  <si>
    <t>Итого</t>
  </si>
  <si>
    <t>Аналитики</t>
  </si>
  <si>
    <t>Разработка</t>
  </si>
  <si>
    <t xml:space="preserve">1 спринт (полный, без учета отпусков) </t>
  </si>
  <si>
    <t>Количество  сотрудников</t>
  </si>
  <si>
    <t>Поддержка</t>
  </si>
  <si>
    <t>спринта</t>
  </si>
  <si>
    <t xml:space="preserve">Итого квартал </t>
  </si>
  <si>
    <t xml:space="preserve">Всего </t>
  </si>
  <si>
    <t>Задачи бизнеса</t>
  </si>
  <si>
    <t xml:space="preserve">Внутренние задачи </t>
  </si>
  <si>
    <t xml:space="preserve">Задачи поддержки (текущие небольшие задачи) </t>
  </si>
  <si>
    <t>Задачи архитектуры</t>
  </si>
  <si>
    <t xml:space="preserve">Прочие задачи ИТ (заявки админов, баги, рефакторинг и прочее) </t>
  </si>
  <si>
    <t xml:space="preserve">Ключевые задачи  (развитие бизнеса)  - от общего количества времени </t>
  </si>
  <si>
    <t xml:space="preserve">Распределение времени по кварталу </t>
  </si>
  <si>
    <t xml:space="preserve">План на 1 сотрудника </t>
  </si>
  <si>
    <t xml:space="preserve">Аналитик </t>
  </si>
  <si>
    <t xml:space="preserve"> Должность </t>
  </si>
  <si>
    <t xml:space="preserve">Разработчик </t>
  </si>
  <si>
    <t>Тестировщик</t>
  </si>
  <si>
    <t xml:space="preserve">Задачи Архитектуры </t>
  </si>
  <si>
    <t xml:space="preserve">Прочие задачи ИТ </t>
  </si>
  <si>
    <t xml:space="preserve">1 месяц </t>
  </si>
  <si>
    <t xml:space="preserve">2 месяц </t>
  </si>
  <si>
    <t xml:space="preserve">3 месяц </t>
  </si>
  <si>
    <t xml:space="preserve">Дата спринта </t>
  </si>
  <si>
    <t xml:space="preserve">№ спринта </t>
  </si>
  <si>
    <t xml:space="preserve">Итого Аналитики </t>
  </si>
  <si>
    <t xml:space="preserve">Итого Разработчики </t>
  </si>
  <si>
    <t xml:space="preserve">Итого Тестировщики </t>
  </si>
  <si>
    <t>ТЗ</t>
  </si>
  <si>
    <t xml:space="preserve">Сопровождение </t>
  </si>
  <si>
    <t xml:space="preserve">Прочие задачи </t>
  </si>
  <si>
    <t xml:space="preserve">Всего часов в спринте </t>
  </si>
  <si>
    <t xml:space="preserve"> тестирование по бизнес-процессам, сопровождение задачи после выкатки на бой </t>
  </si>
  <si>
    <t>Время на сбор требований,  написание ТЗ, согласование ТЗ и ответы на вопросы при согласовании ТЗ</t>
  </si>
  <si>
    <t>Описание работ</t>
  </si>
  <si>
    <t xml:space="preserve">Описание работ </t>
  </si>
  <si>
    <t xml:space="preserve">Разработка </t>
  </si>
  <si>
    <t xml:space="preserve">Исправление багов при разработке </t>
  </si>
  <si>
    <t xml:space="preserve">Организационные встречи (митапы, ретро). Рабочие встречи с заказчиками (в том числе внутренними) для обсуждения предстоящих работ (по которым еще нет задач в Битрикс/Jira) </t>
  </si>
  <si>
    <t xml:space="preserve">Время на разработку задач спринта </t>
  </si>
  <si>
    <t xml:space="preserve">Время на исправление багов по задачам спринта </t>
  </si>
  <si>
    <t xml:space="preserve">Тестирование </t>
  </si>
  <si>
    <t xml:space="preserve">Организационные встречи (митапы, ретро и проче), обсуждение задач вне задач спринта </t>
  </si>
  <si>
    <t xml:space="preserve">Организационные встречи (митапы, ретро), оценка задач, код-ревью, обсуждение задач вне задач спринта </t>
  </si>
  <si>
    <t xml:space="preserve">Тестирование задач спринта </t>
  </si>
  <si>
    <t xml:space="preserve">Баги с прода </t>
  </si>
  <si>
    <t xml:space="preserve">Анализ выявленных багов с прода, постановка багов разработчикам или объяснение корректности работы </t>
  </si>
  <si>
    <t>время, учитываемое при планировании квартальных задач (любых)</t>
  </si>
  <si>
    <t xml:space="preserve">Часов в спринте для расчета времени на ТЗ  </t>
  </si>
  <si>
    <t xml:space="preserve">Информационное поле, не участвуюущее в расчетах </t>
  </si>
  <si>
    <t xml:space="preserve">Задачи планируются на разработчиков и аналитиков, исходя их полной загрузки. Планирование задач на тим-лидов аналитиков и разработчиков зависит от конкретной ИС (детали отражены в Детальном ресурсном плане) </t>
  </si>
  <si>
    <t>Арсений Кузин</t>
  </si>
  <si>
    <t>Лиза Копелович</t>
  </si>
  <si>
    <t>Павел Кремповский</t>
  </si>
  <si>
    <t>Валерия Благушина</t>
  </si>
  <si>
    <t>Алеся Корсакова</t>
  </si>
  <si>
    <t>Евгения Байдакова</t>
  </si>
  <si>
    <t>Илья Бутенко</t>
  </si>
  <si>
    <t>Олег Луха</t>
  </si>
  <si>
    <t>Кол-во раб.дней</t>
  </si>
  <si>
    <t>01.04-7.04</t>
  </si>
  <si>
    <t>08.04-14.04</t>
  </si>
  <si>
    <t>15.04-21.04</t>
  </si>
  <si>
    <t>22.04-28.04</t>
  </si>
  <si>
    <t>Итого апрель</t>
  </si>
  <si>
    <t>29.04-05.05</t>
  </si>
  <si>
    <t>06.05-12.05</t>
  </si>
  <si>
    <t>13.05-19.05</t>
  </si>
  <si>
    <t>20.05-26.05</t>
  </si>
  <si>
    <t>Итого май</t>
  </si>
  <si>
    <t>27.05-02.06</t>
  </si>
  <si>
    <t>03.06-9.06</t>
  </si>
  <si>
    <t>10.06-16.06</t>
  </si>
  <si>
    <t>17.06-23.06</t>
  </si>
  <si>
    <t>24.06-30.06</t>
  </si>
  <si>
    <t>Олег Гальцев</t>
  </si>
  <si>
    <t xml:space="preserve">Ресурсный план 2  квартал </t>
  </si>
  <si>
    <t>Итого 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</si>
</sst>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0" fillId="5" borderId="1" xfId="0" applyFont="1" applyFill="1" applyBorder="1" applyAlignment="1">
      <alignment wrapText="1"/>
    </xf>
    <xf numFmtId="0" fontId="0" fillId="5" borderId="0" xfId="0" applyFill="1"/>
    <xf numFmtId="9" fontId="0" fillId="3" borderId="1" xfId="0" applyNumberFormat="1" applyFill="1" applyBorder="1"/>
    <xf numFmtId="9" fontId="1" fillId="5" borderId="1" xfId="0" applyNumberFormat="1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3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85E4-07B0-4801-A5D0-5DCCC04239A9}">
  <dimension ref="A1:J54"/>
  <sheetViews>
    <sheetView topLeftCell="A16" workbookViewId="0">
      <selection activeCell="C1" sqref="C1"/>
    </sheetView>
  </sheetViews>
  <sheetFormatPr defaultRowHeight="14.4" x14ac:dyDescent="0.3"/>
  <cols>
    <col min="1" max="1" width="13.88671875" customWidth="1"/>
    <col min="2" max="2" width="27.33203125" customWidth="1"/>
    <col min="3" max="3" width="13.6640625" customWidth="1"/>
    <col min="4" max="4" width="12.6640625" customWidth="1"/>
    <col min="5" max="6" width="17.5546875" customWidth="1"/>
    <col min="7" max="7" width="16.33203125" customWidth="1"/>
    <col min="8" max="8" width="23.44140625" customWidth="1"/>
    <col min="9" max="9" width="15.88671875" customWidth="1"/>
    <col min="10" max="10" width="11" customWidth="1"/>
  </cols>
  <sheetData>
    <row r="1" spans="1:10" s="10" customFormat="1" ht="18" x14ac:dyDescent="0.35">
      <c r="A1" s="10" t="s">
        <v>82</v>
      </c>
    </row>
    <row r="3" spans="1:10" s="8" customFormat="1" ht="15.6" x14ac:dyDescent="0.3">
      <c r="A3" s="8" t="s">
        <v>18</v>
      </c>
    </row>
    <row r="4" spans="1:10" s="8" customFormat="1" ht="8.25" customHeight="1" x14ac:dyDescent="0.3"/>
    <row r="5" spans="1:10" s="6" customFormat="1" x14ac:dyDescent="0.3">
      <c r="A5" s="11" t="s">
        <v>11</v>
      </c>
      <c r="B5" s="11"/>
      <c r="C5" s="12">
        <f>C6+C9</f>
        <v>1</v>
      </c>
      <c r="F5" s="6" t="s">
        <v>19</v>
      </c>
      <c r="G5"/>
      <c r="H5"/>
      <c r="I5"/>
    </row>
    <row r="6" spans="1:10" s="6" customFormat="1" ht="28.8" x14ac:dyDescent="0.3">
      <c r="A6" s="11" t="s">
        <v>12</v>
      </c>
      <c r="B6" s="11"/>
      <c r="C6" s="42">
        <f>C7+C8</f>
        <v>0.70000000000000007</v>
      </c>
      <c r="F6"/>
      <c r="G6" s="15" t="s">
        <v>21</v>
      </c>
      <c r="H6" s="17" t="s">
        <v>54</v>
      </c>
      <c r="I6" s="17" t="s">
        <v>35</v>
      </c>
      <c r="J6"/>
    </row>
    <row r="7" spans="1:10" ht="43.2" x14ac:dyDescent="0.3">
      <c r="A7" s="13"/>
      <c r="B7" s="13" t="s">
        <v>17</v>
      </c>
      <c r="C7" s="41">
        <v>0.55000000000000004</v>
      </c>
      <c r="F7" s="6"/>
      <c r="G7" s="14" t="s">
        <v>20</v>
      </c>
      <c r="H7" s="24">
        <f>'Типовые задачи'!C5</f>
        <v>15</v>
      </c>
      <c r="I7" s="24">
        <v>10</v>
      </c>
    </row>
    <row r="8" spans="1:10" ht="28.8" x14ac:dyDescent="0.3">
      <c r="A8" s="13"/>
      <c r="B8" s="13" t="s">
        <v>14</v>
      </c>
      <c r="C8" s="41">
        <v>0.15</v>
      </c>
      <c r="G8" s="14" t="s">
        <v>22</v>
      </c>
      <c r="H8" s="24">
        <f>'Типовые задачи'!C8</f>
        <v>25</v>
      </c>
      <c r="I8" s="24"/>
      <c r="J8" s="6"/>
    </row>
    <row r="9" spans="1:10" s="6" customFormat="1" ht="28.8" x14ac:dyDescent="0.3">
      <c r="A9" s="11" t="s">
        <v>13</v>
      </c>
      <c r="B9" s="11"/>
      <c r="C9" s="42">
        <f>C10+C11</f>
        <v>0.3</v>
      </c>
      <c r="F9"/>
      <c r="G9" s="14" t="s">
        <v>23</v>
      </c>
      <c r="H9" s="24">
        <f>'Типовые задачи'!C11</f>
        <v>25</v>
      </c>
      <c r="I9" s="24"/>
      <c r="J9"/>
    </row>
    <row r="10" spans="1:10" x14ac:dyDescent="0.3">
      <c r="A10" s="13"/>
      <c r="B10" s="13" t="s">
        <v>15</v>
      </c>
      <c r="C10" s="41">
        <v>0.15</v>
      </c>
      <c r="F10" s="6"/>
      <c r="G10" s="6"/>
      <c r="H10" s="6"/>
      <c r="I10" s="6"/>
    </row>
    <row r="11" spans="1:10" ht="43.2" x14ac:dyDescent="0.3">
      <c r="A11" s="13"/>
      <c r="B11" s="13" t="s">
        <v>16</v>
      </c>
      <c r="C11" s="41">
        <v>0.15</v>
      </c>
      <c r="F11" s="46" t="s">
        <v>56</v>
      </c>
      <c r="G11" s="46"/>
      <c r="H11" s="46"/>
      <c r="I11" s="6"/>
    </row>
    <row r="14" spans="1:10" s="9" customFormat="1" ht="15.6" x14ac:dyDescent="0.3">
      <c r="A14" s="45" t="s">
        <v>6</v>
      </c>
      <c r="B14" s="45"/>
      <c r="C14" s="45"/>
      <c r="D14" s="37"/>
      <c r="E14" s="38"/>
      <c r="F14" s="38"/>
      <c r="G14" s="38"/>
      <c r="H14" s="35"/>
      <c r="I14" s="35"/>
      <c r="J14" s="35"/>
    </row>
    <row r="15" spans="1:10" s="18" customFormat="1" ht="28.8" x14ac:dyDescent="0.3">
      <c r="A15" s="17" t="s">
        <v>0</v>
      </c>
      <c r="B15" s="17" t="s">
        <v>7</v>
      </c>
      <c r="C15" s="17" t="s">
        <v>1</v>
      </c>
      <c r="D15" s="17" t="s">
        <v>8</v>
      </c>
      <c r="E15" s="17" t="s">
        <v>24</v>
      </c>
      <c r="F15" s="17" t="s">
        <v>25</v>
      </c>
      <c r="G15" s="17" t="s">
        <v>3</v>
      </c>
      <c r="H15" s="36"/>
      <c r="I15" s="36"/>
      <c r="J15" s="36"/>
    </row>
    <row r="16" spans="1:10" x14ac:dyDescent="0.3">
      <c r="A16" s="2" t="s">
        <v>4</v>
      </c>
      <c r="B16" s="23">
        <v>2.5</v>
      </c>
      <c r="C16" s="23">
        <f>B16*$H$7*$C$7</f>
        <v>20.625</v>
      </c>
      <c r="D16" s="23">
        <f>$B16*$H7*$C$10</f>
        <v>5.625</v>
      </c>
      <c r="E16" s="23">
        <f>$B16*$H$7*$C$10</f>
        <v>5.625</v>
      </c>
      <c r="F16" s="23">
        <f>$B16*$H$7*$C$11</f>
        <v>5.625</v>
      </c>
      <c r="G16" s="23">
        <f>SUM(C16:F16)</f>
        <v>37.5</v>
      </c>
      <c r="H16" s="28"/>
      <c r="I16" s="28"/>
      <c r="J16" s="28"/>
    </row>
    <row r="17" spans="1:10" x14ac:dyDescent="0.3">
      <c r="A17" s="2" t="s">
        <v>5</v>
      </c>
      <c r="B17" s="23">
        <v>2.5</v>
      </c>
      <c r="C17" s="23">
        <f>B17*$H8*$C$7</f>
        <v>34.375</v>
      </c>
      <c r="D17" s="23">
        <f>$B17*$H$8*$C$8</f>
        <v>9.375</v>
      </c>
      <c r="E17" s="23">
        <f>$B17*$H$8*$C$10</f>
        <v>9.375</v>
      </c>
      <c r="F17" s="23">
        <f>$B17*$H$8*$C$11</f>
        <v>9.375</v>
      </c>
      <c r="G17" s="23">
        <f>SUM(C17:F17)</f>
        <v>62.5</v>
      </c>
      <c r="H17" s="28"/>
      <c r="I17" s="28"/>
      <c r="J17" s="28"/>
    </row>
    <row r="18" spans="1:10" x14ac:dyDescent="0.3">
      <c r="A18" s="2" t="s">
        <v>2</v>
      </c>
      <c r="B18" s="23">
        <v>3</v>
      </c>
      <c r="C18" s="23">
        <f>B18*$H9*$C$7</f>
        <v>41.25</v>
      </c>
      <c r="D18" s="23">
        <f>$B18*$H$9*$C$8</f>
        <v>11.25</v>
      </c>
      <c r="E18" s="23">
        <f>$B18*$H9*$C$10</f>
        <v>11.25</v>
      </c>
      <c r="F18" s="23">
        <f>$B18*$H9*$C$11</f>
        <v>11.25</v>
      </c>
      <c r="G18" s="23">
        <f>SUM(C18:F18)</f>
        <v>75</v>
      </c>
      <c r="H18" s="28"/>
      <c r="I18" s="28"/>
      <c r="J18" s="28"/>
    </row>
    <row r="19" spans="1:10" x14ac:dyDescent="0.3">
      <c r="A19" s="2" t="s">
        <v>3</v>
      </c>
      <c r="B19" s="23">
        <f>SUM(B16:B18)</f>
        <v>8</v>
      </c>
      <c r="C19" s="23">
        <f>SUM(C16:C18)</f>
        <v>96.25</v>
      </c>
      <c r="D19" s="23">
        <f>SUM(D16:D18)</f>
        <v>26.25</v>
      </c>
      <c r="E19" s="23">
        <f t="shared" ref="E19:F19" si="0">SUM(E16:E18)</f>
        <v>26.25</v>
      </c>
      <c r="F19" s="23">
        <f t="shared" si="0"/>
        <v>26.25</v>
      </c>
      <c r="G19" s="23">
        <f>SUM(G16:G18)</f>
        <v>175</v>
      </c>
    </row>
    <row r="22" spans="1:10" s="8" customFormat="1" ht="15.6" x14ac:dyDescent="0.3">
      <c r="A22" s="7" t="s">
        <v>26</v>
      </c>
      <c r="B22" s="8">
        <v>3</v>
      </c>
      <c r="C22" s="8" t="s">
        <v>9</v>
      </c>
    </row>
    <row r="23" spans="1:10" ht="28.8" x14ac:dyDescent="0.3">
      <c r="A23" s="1" t="s">
        <v>0</v>
      </c>
      <c r="B23" s="1" t="s">
        <v>7</v>
      </c>
      <c r="C23" s="1" t="s">
        <v>1</v>
      </c>
      <c r="D23" s="1" t="s">
        <v>8</v>
      </c>
      <c r="E23" s="1" t="s">
        <v>24</v>
      </c>
      <c r="F23" s="1" t="s">
        <v>25</v>
      </c>
      <c r="G23" s="1" t="s">
        <v>3</v>
      </c>
    </row>
    <row r="24" spans="1:10" x14ac:dyDescent="0.3">
      <c r="A24" s="2" t="s">
        <v>4</v>
      </c>
      <c r="B24" s="23">
        <v>3</v>
      </c>
      <c r="C24" s="4">
        <f>G24*$C$7</f>
        <v>60.500000000000007</v>
      </c>
      <c r="D24" s="4">
        <f>G24*$C$8</f>
        <v>16.5</v>
      </c>
      <c r="E24" s="4">
        <f>G24*$C$10</f>
        <v>16.5</v>
      </c>
      <c r="F24" s="4">
        <f>G24*$C$11</f>
        <v>16.5</v>
      </c>
      <c r="G24" s="4">
        <f>'Детальный ресурсный план '!G8</f>
        <v>110</v>
      </c>
    </row>
    <row r="25" spans="1:10" x14ac:dyDescent="0.3">
      <c r="A25" s="2" t="s">
        <v>5</v>
      </c>
      <c r="B25" s="23">
        <v>3</v>
      </c>
      <c r="C25" s="4">
        <f t="shared" ref="C25:C26" si="1">G25*$C$7</f>
        <v>124.30000000000001</v>
      </c>
      <c r="D25" s="4">
        <f t="shared" ref="D25:D26" si="2">G25*$C$8</f>
        <v>33.9</v>
      </c>
      <c r="E25" s="4">
        <f t="shared" ref="E25:E26" si="3">G25*$C$10</f>
        <v>33.9</v>
      </c>
      <c r="F25" s="4">
        <f t="shared" ref="F25:F26" si="4">G25*$C$11</f>
        <v>33.9</v>
      </c>
      <c r="G25" s="4">
        <f>'Детальный ресурсный план '!G13</f>
        <v>226</v>
      </c>
    </row>
    <row r="26" spans="1:10" x14ac:dyDescent="0.3">
      <c r="A26" s="2" t="s">
        <v>2</v>
      </c>
      <c r="B26" s="23">
        <v>3</v>
      </c>
      <c r="C26" s="4">
        <f t="shared" si="1"/>
        <v>103.95</v>
      </c>
      <c r="D26" s="4">
        <f t="shared" si="2"/>
        <v>28.349999999999998</v>
      </c>
      <c r="E26" s="4">
        <f t="shared" si="3"/>
        <v>28.349999999999998</v>
      </c>
      <c r="F26" s="4">
        <f t="shared" si="4"/>
        <v>28.349999999999998</v>
      </c>
      <c r="G26" s="4">
        <f>'Детальный ресурсный план '!G18</f>
        <v>189</v>
      </c>
    </row>
    <row r="27" spans="1:10" x14ac:dyDescent="0.3">
      <c r="A27" s="2" t="s">
        <v>3</v>
      </c>
      <c r="B27" s="23">
        <f>SUM(B24:B26)</f>
        <v>9</v>
      </c>
      <c r="C27" s="3">
        <f t="shared" ref="C27:F27" si="5">SUM(C24:C26)</f>
        <v>288.75</v>
      </c>
      <c r="D27" s="3">
        <f t="shared" si="5"/>
        <v>78.75</v>
      </c>
      <c r="E27" s="3">
        <f t="shared" si="5"/>
        <v>78.75</v>
      </c>
      <c r="F27" s="3">
        <f t="shared" si="5"/>
        <v>78.75</v>
      </c>
      <c r="G27" s="3">
        <f>SUM(G24:G26)</f>
        <v>525</v>
      </c>
    </row>
    <row r="30" spans="1:10" s="8" customFormat="1" ht="15.6" x14ac:dyDescent="0.3">
      <c r="A30" s="7" t="s">
        <v>27</v>
      </c>
      <c r="B30" s="8">
        <v>4</v>
      </c>
      <c r="C30" s="8" t="s">
        <v>9</v>
      </c>
    </row>
    <row r="31" spans="1:10" ht="28.8" x14ac:dyDescent="0.3">
      <c r="A31" s="1" t="s">
        <v>0</v>
      </c>
      <c r="B31" s="1" t="s">
        <v>7</v>
      </c>
      <c r="C31" s="1" t="s">
        <v>1</v>
      </c>
      <c r="D31" s="1" t="s">
        <v>8</v>
      </c>
      <c r="E31" s="1" t="s">
        <v>24</v>
      </c>
      <c r="F31" s="1" t="s">
        <v>25</v>
      </c>
      <c r="G31" s="1" t="s">
        <v>3</v>
      </c>
    </row>
    <row r="32" spans="1:10" x14ac:dyDescent="0.3">
      <c r="A32" s="2" t="s">
        <v>4</v>
      </c>
      <c r="B32" s="23">
        <v>3</v>
      </c>
      <c r="C32" s="4">
        <f>G32*$C$7</f>
        <v>69.300000000000011</v>
      </c>
      <c r="D32" s="4">
        <f>G32*$C$8</f>
        <v>18.899999999999999</v>
      </c>
      <c r="E32" s="4">
        <f>G32*$C$10</f>
        <v>18.899999999999999</v>
      </c>
      <c r="F32" s="4">
        <f>G32*$C$11</f>
        <v>18.899999999999999</v>
      </c>
      <c r="G32" s="4">
        <f>'Детальный ресурсный план '!L8</f>
        <v>126</v>
      </c>
    </row>
    <row r="33" spans="1:7" x14ac:dyDescent="0.3">
      <c r="A33" s="2" t="s">
        <v>5</v>
      </c>
      <c r="B33" s="23">
        <v>3</v>
      </c>
      <c r="C33" s="4">
        <f t="shared" ref="C33:C34" si="6">G33*$C$7</f>
        <v>91.850000000000009</v>
      </c>
      <c r="D33" s="4">
        <f t="shared" ref="D33:D34" si="7">G33*$C$8</f>
        <v>25.05</v>
      </c>
      <c r="E33" s="4">
        <f t="shared" ref="E33:E34" si="8">G33*$C$10</f>
        <v>25.05</v>
      </c>
      <c r="F33" s="4">
        <f t="shared" ref="F33:F34" si="9">G33*$C$11</f>
        <v>25.05</v>
      </c>
      <c r="G33" s="4">
        <f>'Детальный ресурсный план '!L13</f>
        <v>167</v>
      </c>
    </row>
    <row r="34" spans="1:7" x14ac:dyDescent="0.3">
      <c r="A34" s="2" t="s">
        <v>2</v>
      </c>
      <c r="B34" s="23">
        <v>3</v>
      </c>
      <c r="C34" s="4">
        <f t="shared" si="6"/>
        <v>135.30000000000001</v>
      </c>
      <c r="D34" s="4">
        <f t="shared" si="7"/>
        <v>36.9</v>
      </c>
      <c r="E34" s="4">
        <f t="shared" si="8"/>
        <v>36.9</v>
      </c>
      <c r="F34" s="4">
        <f t="shared" si="9"/>
        <v>36.9</v>
      </c>
      <c r="G34" s="4">
        <f>'Детальный ресурсный план '!L18</f>
        <v>246</v>
      </c>
    </row>
    <row r="35" spans="1:7" x14ac:dyDescent="0.3">
      <c r="A35" s="2" t="s">
        <v>3</v>
      </c>
      <c r="B35" s="39">
        <f>SUM(B32:B34)</f>
        <v>9</v>
      </c>
      <c r="C35" s="3">
        <f t="shared" ref="C35" si="10">SUM(C32:C34)</f>
        <v>296.45000000000005</v>
      </c>
      <c r="D35" s="3">
        <f t="shared" ref="D35" si="11">SUM(D32:D34)</f>
        <v>80.849999999999994</v>
      </c>
      <c r="E35" s="3">
        <f t="shared" ref="E35" si="12">SUM(E32:E34)</f>
        <v>80.849999999999994</v>
      </c>
      <c r="F35" s="3">
        <f t="shared" ref="F35" si="13">SUM(F32:F34)</f>
        <v>80.849999999999994</v>
      </c>
      <c r="G35" s="3">
        <f>SUM(G32:G34)</f>
        <v>539</v>
      </c>
    </row>
    <row r="38" spans="1:7" s="8" customFormat="1" ht="15.6" x14ac:dyDescent="0.3">
      <c r="A38" s="7" t="s">
        <v>28</v>
      </c>
      <c r="B38" s="8">
        <v>4</v>
      </c>
      <c r="C38" s="8" t="s">
        <v>9</v>
      </c>
    </row>
    <row r="39" spans="1:7" ht="28.8" x14ac:dyDescent="0.3">
      <c r="A39" s="1" t="s">
        <v>0</v>
      </c>
      <c r="B39" s="1" t="s">
        <v>7</v>
      </c>
      <c r="C39" s="1" t="s">
        <v>1</v>
      </c>
      <c r="D39" s="1" t="s">
        <v>8</v>
      </c>
      <c r="E39" s="1" t="s">
        <v>24</v>
      </c>
      <c r="F39" s="1" t="s">
        <v>25</v>
      </c>
      <c r="G39" s="1" t="s">
        <v>3</v>
      </c>
    </row>
    <row r="40" spans="1:7" x14ac:dyDescent="0.3">
      <c r="A40" s="2" t="s">
        <v>4</v>
      </c>
      <c r="B40" s="23">
        <v>3</v>
      </c>
      <c r="C40" s="4">
        <f>G40*$C$7</f>
        <v>84.15</v>
      </c>
      <c r="D40" s="4">
        <f>G40*$C$8</f>
        <v>22.95</v>
      </c>
      <c r="E40" s="4">
        <f>G40*$C$10</f>
        <v>22.95</v>
      </c>
      <c r="F40" s="4">
        <f>G40*$C$11</f>
        <v>22.95</v>
      </c>
      <c r="G40" s="4">
        <f>'Детальный ресурсный план '!R8</f>
        <v>153</v>
      </c>
    </row>
    <row r="41" spans="1:7" x14ac:dyDescent="0.3">
      <c r="A41" s="2" t="s">
        <v>5</v>
      </c>
      <c r="B41" s="23">
        <v>3</v>
      </c>
      <c r="C41" s="4">
        <f t="shared" ref="C41:C42" si="14">G41*$C$7</f>
        <v>171.60000000000002</v>
      </c>
      <c r="D41" s="4">
        <f t="shared" ref="D41:D42" si="15">G41*$C$8</f>
        <v>46.8</v>
      </c>
      <c r="E41" s="4">
        <f t="shared" ref="E41:E42" si="16">G41*$C$10</f>
        <v>46.8</v>
      </c>
      <c r="F41" s="4">
        <f t="shared" ref="F41:F42" si="17">G41*$C$11</f>
        <v>46.8</v>
      </c>
      <c r="G41" s="4">
        <f>'Детальный ресурсный план '!R13</f>
        <v>312</v>
      </c>
    </row>
    <row r="42" spans="1:7" x14ac:dyDescent="0.3">
      <c r="A42" s="2" t="s">
        <v>2</v>
      </c>
      <c r="B42" s="23">
        <v>3</v>
      </c>
      <c r="C42" s="4">
        <f t="shared" si="14"/>
        <v>166.10000000000002</v>
      </c>
      <c r="D42" s="4">
        <f t="shared" si="15"/>
        <v>45.3</v>
      </c>
      <c r="E42" s="4">
        <f t="shared" si="16"/>
        <v>45.3</v>
      </c>
      <c r="F42" s="4">
        <f t="shared" si="17"/>
        <v>45.3</v>
      </c>
      <c r="G42" s="4">
        <f>'Детальный ресурсный план '!R18</f>
        <v>302</v>
      </c>
    </row>
    <row r="43" spans="1:7" x14ac:dyDescent="0.3">
      <c r="A43" s="2" t="s">
        <v>3</v>
      </c>
      <c r="B43" s="23">
        <f>SUM(B40:B42)</f>
        <v>9</v>
      </c>
      <c r="C43" s="3">
        <f t="shared" ref="C43" si="18">SUM(C40:C42)</f>
        <v>421.85</v>
      </c>
      <c r="D43" s="3">
        <f t="shared" ref="D43" si="19">SUM(D40:D42)</f>
        <v>115.05</v>
      </c>
      <c r="E43" s="3">
        <f t="shared" ref="E43" si="20">SUM(E40:E42)</f>
        <v>115.05</v>
      </c>
      <c r="F43" s="3">
        <f t="shared" ref="F43" si="21">SUM(F40:F42)</f>
        <v>115.05</v>
      </c>
      <c r="G43" s="3">
        <f>SUM(G40:G42)</f>
        <v>767</v>
      </c>
    </row>
    <row r="45" spans="1:7" ht="31.2" x14ac:dyDescent="0.3">
      <c r="A45" s="7" t="s">
        <v>10</v>
      </c>
    </row>
    <row r="46" spans="1:7" ht="28.8" x14ac:dyDescent="0.3">
      <c r="A46" s="1" t="s">
        <v>0</v>
      </c>
      <c r="B46" s="1" t="s">
        <v>7</v>
      </c>
      <c r="C46" s="1" t="s">
        <v>1</v>
      </c>
      <c r="D46" s="1" t="s">
        <v>8</v>
      </c>
      <c r="E46" s="1" t="s">
        <v>24</v>
      </c>
      <c r="F46" s="1" t="s">
        <v>25</v>
      </c>
      <c r="G46" s="1" t="s">
        <v>3</v>
      </c>
    </row>
    <row r="47" spans="1:7" x14ac:dyDescent="0.3">
      <c r="A47" s="2" t="s">
        <v>4</v>
      </c>
      <c r="B47" s="39">
        <v>3</v>
      </c>
      <c r="C47" s="4">
        <f>C40+C32+C24</f>
        <v>213.95000000000002</v>
      </c>
      <c r="D47" s="4">
        <f t="shared" ref="D47:F47" si="22">D40+D32+D24</f>
        <v>58.349999999999994</v>
      </c>
      <c r="E47" s="4">
        <f t="shared" si="22"/>
        <v>58.349999999999994</v>
      </c>
      <c r="F47" s="4">
        <f t="shared" si="22"/>
        <v>58.349999999999994</v>
      </c>
      <c r="G47" s="4">
        <f t="shared" ref="G47" si="23">G40+G32+G24</f>
        <v>389</v>
      </c>
    </row>
    <row r="48" spans="1:7" x14ac:dyDescent="0.3">
      <c r="A48" s="2" t="s">
        <v>5</v>
      </c>
      <c r="B48" s="39">
        <v>3</v>
      </c>
      <c r="C48" s="4">
        <f t="shared" ref="C48:F48" si="24">C41+C33+C25</f>
        <v>387.75000000000006</v>
      </c>
      <c r="D48" s="4">
        <f t="shared" si="24"/>
        <v>105.75</v>
      </c>
      <c r="E48" s="4">
        <f t="shared" si="24"/>
        <v>105.75</v>
      </c>
      <c r="F48" s="4">
        <f t="shared" si="24"/>
        <v>105.75</v>
      </c>
      <c r="G48" s="4">
        <f t="shared" ref="G48" si="25">G41+G33+G25</f>
        <v>705</v>
      </c>
    </row>
    <row r="49" spans="1:7" x14ac:dyDescent="0.3">
      <c r="A49" s="2" t="s">
        <v>2</v>
      </c>
      <c r="B49" s="39">
        <v>3</v>
      </c>
      <c r="C49" s="4">
        <f t="shared" ref="C49:F49" si="26">C42+C34+C26</f>
        <v>405.35</v>
      </c>
      <c r="D49" s="4">
        <f t="shared" si="26"/>
        <v>110.54999999999998</v>
      </c>
      <c r="E49" s="4">
        <f t="shared" si="26"/>
        <v>110.54999999999998</v>
      </c>
      <c r="F49" s="4">
        <f t="shared" si="26"/>
        <v>110.54999999999998</v>
      </c>
      <c r="G49" s="4">
        <f t="shared" ref="G49" si="27">G42+G34+G26</f>
        <v>737</v>
      </c>
    </row>
    <row r="50" spans="1:7" x14ac:dyDescent="0.3">
      <c r="A50" s="2" t="s">
        <v>3</v>
      </c>
      <c r="B50" s="39">
        <f>SUM(B47:B49)</f>
        <v>9</v>
      </c>
      <c r="C50" s="5">
        <f>SUM(C47:C49)</f>
        <v>1007.0500000000001</v>
      </c>
      <c r="D50" s="5">
        <f t="shared" ref="D50:F50" si="28">SUM(D47:D49)</f>
        <v>274.64999999999998</v>
      </c>
      <c r="E50" s="5">
        <f t="shared" si="28"/>
        <v>274.64999999999998</v>
      </c>
      <c r="F50" s="5">
        <f t="shared" si="28"/>
        <v>274.64999999999998</v>
      </c>
      <c r="G50" s="5"/>
    </row>
    <row r="54" spans="1:7" x14ac:dyDescent="0.3">
      <c r="A54" s="40"/>
      <c r="B54" t="s">
        <v>55</v>
      </c>
    </row>
  </sheetData>
  <mergeCells count="2">
    <mergeCell ref="A14:C14"/>
    <mergeCell ref="F11:H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57E9-7EAA-4606-A953-52D42D9851F1}">
  <dimension ref="A2:R25"/>
  <sheetViews>
    <sheetView tabSelected="1" workbookViewId="0">
      <selection activeCell="P23" sqref="P23"/>
    </sheetView>
  </sheetViews>
  <sheetFormatPr defaultRowHeight="14.4" x14ac:dyDescent="0.3"/>
  <cols>
    <col min="1" max="1" width="18.109375" customWidth="1"/>
    <col min="3" max="3" width="16" bestFit="1" customWidth="1"/>
    <col min="4" max="4" width="17" bestFit="1" customWidth="1"/>
    <col min="5" max="5" width="17" customWidth="1"/>
    <col min="6" max="6" width="17.5546875" bestFit="1" customWidth="1"/>
    <col min="7" max="8" width="17.5546875" customWidth="1"/>
    <col min="9" max="10" width="16" bestFit="1" customWidth="1"/>
    <col min="11" max="11" width="17" bestFit="1" customWidth="1"/>
    <col min="12" max="12" width="20.109375" customWidth="1"/>
    <col min="13" max="13" width="19.109375" bestFit="1" customWidth="1"/>
    <col min="14" max="14" width="21.6640625" bestFit="1" customWidth="1"/>
    <col min="15" max="15" width="21.109375" bestFit="1" customWidth="1"/>
    <col min="16" max="16" width="21.109375" customWidth="1"/>
    <col min="17" max="18" width="21.109375" bestFit="1" customWidth="1"/>
  </cols>
  <sheetData>
    <row r="2" spans="1:18" x14ac:dyDescent="0.3">
      <c r="A2" s="15" t="s">
        <v>65</v>
      </c>
      <c r="C2">
        <v>5</v>
      </c>
      <c r="D2">
        <v>5</v>
      </c>
      <c r="E2">
        <v>5</v>
      </c>
      <c r="F2">
        <v>5</v>
      </c>
      <c r="H2">
        <v>4</v>
      </c>
      <c r="I2">
        <v>4</v>
      </c>
      <c r="J2">
        <v>5</v>
      </c>
      <c r="K2">
        <v>5</v>
      </c>
      <c r="M2">
        <v>5</v>
      </c>
      <c r="N2">
        <v>5</v>
      </c>
      <c r="O2">
        <v>4</v>
      </c>
      <c r="P2">
        <v>5</v>
      </c>
      <c r="Q2">
        <v>5</v>
      </c>
    </row>
    <row r="3" spans="1:18" s="19" customFormat="1" x14ac:dyDescent="0.3">
      <c r="A3" s="15" t="s">
        <v>30</v>
      </c>
      <c r="B3" s="15"/>
      <c r="C3" s="15">
        <v>14</v>
      </c>
      <c r="D3" s="15">
        <v>15</v>
      </c>
      <c r="E3" s="15">
        <v>16</v>
      </c>
      <c r="F3" s="15">
        <v>17</v>
      </c>
      <c r="G3" s="15" t="s">
        <v>70</v>
      </c>
      <c r="H3" s="15">
        <v>18</v>
      </c>
      <c r="I3" s="15">
        <v>19</v>
      </c>
      <c r="J3" s="15">
        <v>20</v>
      </c>
      <c r="K3" s="15">
        <v>21</v>
      </c>
      <c r="L3" s="15" t="s">
        <v>75</v>
      </c>
      <c r="M3" s="15">
        <v>22</v>
      </c>
      <c r="N3" s="15">
        <v>23</v>
      </c>
      <c r="O3" s="15">
        <v>24</v>
      </c>
      <c r="P3" s="15">
        <v>25</v>
      </c>
      <c r="Q3" s="15">
        <v>26</v>
      </c>
      <c r="R3" s="15" t="s">
        <v>83</v>
      </c>
    </row>
    <row r="4" spans="1:18" s="6" customFormat="1" x14ac:dyDescent="0.3">
      <c r="A4" s="20" t="s">
        <v>29</v>
      </c>
      <c r="B4" s="20"/>
      <c r="C4" s="20" t="s">
        <v>66</v>
      </c>
      <c r="D4" s="20" t="s">
        <v>67</v>
      </c>
      <c r="E4" s="20" t="s">
        <v>68</v>
      </c>
      <c r="F4" s="20" t="s">
        <v>69</v>
      </c>
      <c r="G4" s="21"/>
      <c r="H4" s="20" t="s">
        <v>71</v>
      </c>
      <c r="I4" s="20" t="s">
        <v>72</v>
      </c>
      <c r="J4" s="20" t="s">
        <v>73</v>
      </c>
      <c r="K4" s="20" t="s">
        <v>74</v>
      </c>
      <c r="L4" s="21"/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1"/>
    </row>
    <row r="5" spans="1:18" x14ac:dyDescent="0.3">
      <c r="A5" s="22" t="s">
        <v>60</v>
      </c>
      <c r="B5" s="22"/>
      <c r="C5" s="25">
        <v>5</v>
      </c>
      <c r="D5" s="25">
        <v>5</v>
      </c>
      <c r="E5" s="25">
        <v>5</v>
      </c>
      <c r="F5" s="25">
        <v>5</v>
      </c>
      <c r="G5" s="22">
        <f>SUM(C5:F5)</f>
        <v>20</v>
      </c>
      <c r="H5" s="25">
        <v>4</v>
      </c>
      <c r="I5" s="25">
        <v>4</v>
      </c>
      <c r="J5" s="25">
        <v>5</v>
      </c>
      <c r="K5" s="25">
        <v>5</v>
      </c>
      <c r="L5" s="22">
        <f>SUM(H5:K5)</f>
        <v>18</v>
      </c>
      <c r="M5" s="25">
        <v>5</v>
      </c>
      <c r="N5" s="25">
        <v>5</v>
      </c>
      <c r="O5" s="25">
        <v>4</v>
      </c>
      <c r="P5" s="25">
        <v>5</v>
      </c>
      <c r="Q5" s="25">
        <v>5</v>
      </c>
      <c r="R5" s="22">
        <f>SUM(M5:Q5)</f>
        <v>24</v>
      </c>
    </row>
    <row r="6" spans="1:18" x14ac:dyDescent="0.3">
      <c r="A6" s="22" t="s">
        <v>61</v>
      </c>
      <c r="B6" s="22"/>
      <c r="C6" s="25">
        <v>15</v>
      </c>
      <c r="D6" s="25">
        <v>15</v>
      </c>
      <c r="E6" s="25">
        <v>15</v>
      </c>
      <c r="F6" s="25">
        <v>15</v>
      </c>
      <c r="G6" s="22">
        <f>SUM(C6:F6)</f>
        <v>60</v>
      </c>
      <c r="H6" s="25">
        <v>12</v>
      </c>
      <c r="I6" s="25">
        <v>12</v>
      </c>
      <c r="J6" s="25">
        <v>15</v>
      </c>
      <c r="K6" s="25">
        <v>15</v>
      </c>
      <c r="L6" s="22">
        <f>SUM(H6:K6)</f>
        <v>54</v>
      </c>
      <c r="M6" s="25">
        <v>9</v>
      </c>
      <c r="N6" s="25">
        <v>6</v>
      </c>
      <c r="O6" s="25">
        <v>12</v>
      </c>
      <c r="P6" s="25">
        <v>15</v>
      </c>
      <c r="Q6" s="25">
        <v>15</v>
      </c>
      <c r="R6" s="22">
        <f t="shared" ref="R6:R7" si="0">SUM(M6:Q6)</f>
        <v>57</v>
      </c>
    </row>
    <row r="7" spans="1:18" x14ac:dyDescent="0.3">
      <c r="A7" s="22" t="s">
        <v>62</v>
      </c>
      <c r="B7" s="22"/>
      <c r="C7" s="25">
        <v>9</v>
      </c>
      <c r="D7" s="25">
        <v>0</v>
      </c>
      <c r="E7" s="25">
        <v>6</v>
      </c>
      <c r="F7" s="25">
        <v>15</v>
      </c>
      <c r="G7" s="22">
        <f>SUM(C7:F7)</f>
        <v>30</v>
      </c>
      <c r="H7" s="25">
        <v>12</v>
      </c>
      <c r="I7" s="25">
        <v>12</v>
      </c>
      <c r="J7" s="25">
        <v>15</v>
      </c>
      <c r="K7" s="25">
        <v>15</v>
      </c>
      <c r="L7" s="22">
        <f>SUM(H7:K7)</f>
        <v>54</v>
      </c>
      <c r="M7" s="25">
        <v>15</v>
      </c>
      <c r="N7" s="25">
        <v>15</v>
      </c>
      <c r="O7" s="25">
        <v>12</v>
      </c>
      <c r="P7" s="25">
        <v>15</v>
      </c>
      <c r="Q7" s="25">
        <v>15</v>
      </c>
      <c r="R7" s="22">
        <f t="shared" si="0"/>
        <v>72</v>
      </c>
    </row>
    <row r="8" spans="1:18" s="6" customFormat="1" x14ac:dyDescent="0.3">
      <c r="A8" s="20" t="s">
        <v>31</v>
      </c>
      <c r="B8" s="20"/>
      <c r="C8" s="20">
        <f>SUM(C5:C7)</f>
        <v>29</v>
      </c>
      <c r="D8" s="20">
        <f>SUM(D5:D7)</f>
        <v>20</v>
      </c>
      <c r="E8" s="20">
        <f>SUM(E5:E7)</f>
        <v>26</v>
      </c>
      <c r="F8" s="20">
        <f>SUM(F5:F7)</f>
        <v>35</v>
      </c>
      <c r="G8" s="20">
        <f>SUM(C8:F8)</f>
        <v>110</v>
      </c>
      <c r="H8" s="20">
        <f t="shared" ref="H8:R8" si="1">SUM(H5:H7)</f>
        <v>28</v>
      </c>
      <c r="I8" s="20">
        <f t="shared" si="1"/>
        <v>28</v>
      </c>
      <c r="J8" s="20">
        <f t="shared" si="1"/>
        <v>35</v>
      </c>
      <c r="K8" s="20">
        <f t="shared" si="1"/>
        <v>35</v>
      </c>
      <c r="L8" s="20">
        <f t="shared" si="1"/>
        <v>126</v>
      </c>
      <c r="M8" s="20">
        <f t="shared" si="1"/>
        <v>29</v>
      </c>
      <c r="N8" s="20">
        <f t="shared" si="1"/>
        <v>26</v>
      </c>
      <c r="O8" s="20">
        <f t="shared" si="1"/>
        <v>28</v>
      </c>
      <c r="P8" s="20">
        <f t="shared" ref="P8:Q8" si="2">SUM(P5:P7)</f>
        <v>35</v>
      </c>
      <c r="Q8" s="20">
        <f t="shared" si="2"/>
        <v>35</v>
      </c>
      <c r="R8" s="20">
        <f t="shared" si="1"/>
        <v>153</v>
      </c>
    </row>
    <row r="9" spans="1:18" s="6" customForma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 s="6" customFormat="1" x14ac:dyDescent="0.3">
      <c r="A10" s="43" t="s">
        <v>81</v>
      </c>
      <c r="B10" s="20"/>
      <c r="C10" s="44">
        <v>6</v>
      </c>
      <c r="D10" s="44">
        <v>15</v>
      </c>
      <c r="E10" s="44">
        <v>15</v>
      </c>
      <c r="F10" s="44">
        <v>15</v>
      </c>
      <c r="G10" s="22">
        <f>SUM(C10:F10)</f>
        <v>51</v>
      </c>
      <c r="H10" s="44">
        <v>12</v>
      </c>
      <c r="I10" s="44">
        <v>12</v>
      </c>
      <c r="J10" s="44">
        <v>15</v>
      </c>
      <c r="K10" s="44">
        <v>15</v>
      </c>
      <c r="L10" s="22">
        <f>SUM(I10:K10)</f>
        <v>42</v>
      </c>
      <c r="M10" s="44">
        <v>15</v>
      </c>
      <c r="N10" s="44">
        <v>15</v>
      </c>
      <c r="O10" s="44">
        <v>12</v>
      </c>
      <c r="P10" s="44">
        <v>15</v>
      </c>
      <c r="Q10" s="44">
        <v>15</v>
      </c>
      <c r="R10" s="22">
        <f>SUM(M10:Q10)</f>
        <v>72</v>
      </c>
    </row>
    <row r="11" spans="1:18" x14ac:dyDescent="0.3">
      <c r="A11" s="22" t="s">
        <v>63</v>
      </c>
      <c r="B11" s="22"/>
      <c r="C11" s="25">
        <v>25</v>
      </c>
      <c r="D11" s="25">
        <v>25</v>
      </c>
      <c r="E11" s="25">
        <v>25</v>
      </c>
      <c r="F11" s="25">
        <v>25</v>
      </c>
      <c r="G11" s="22">
        <f>SUM(C11:F11)</f>
        <v>100</v>
      </c>
      <c r="H11" s="25">
        <v>20</v>
      </c>
      <c r="I11" s="25">
        <v>20</v>
      </c>
      <c r="J11" s="25">
        <v>25</v>
      </c>
      <c r="K11" s="25">
        <v>25</v>
      </c>
      <c r="L11" s="22">
        <f>SUM(I11:K11)</f>
        <v>70</v>
      </c>
      <c r="M11" s="25">
        <v>25</v>
      </c>
      <c r="N11" s="25">
        <v>25</v>
      </c>
      <c r="O11" s="25">
        <v>20</v>
      </c>
      <c r="P11" s="25">
        <v>25</v>
      </c>
      <c r="Q11" s="25">
        <v>25</v>
      </c>
      <c r="R11" s="22">
        <f>SUM(M11:Q11)</f>
        <v>120</v>
      </c>
    </row>
    <row r="12" spans="1:18" x14ac:dyDescent="0.3">
      <c r="A12" s="22" t="s">
        <v>64</v>
      </c>
      <c r="B12" s="22"/>
      <c r="C12" s="25">
        <v>25</v>
      </c>
      <c r="D12" s="25">
        <v>15</v>
      </c>
      <c r="E12" s="25">
        <v>10</v>
      </c>
      <c r="F12" s="25">
        <v>25</v>
      </c>
      <c r="G12" s="22">
        <f>SUM(C12:F12)</f>
        <v>75</v>
      </c>
      <c r="H12" s="25">
        <v>10</v>
      </c>
      <c r="I12" s="25">
        <v>5</v>
      </c>
      <c r="J12" s="25">
        <v>25</v>
      </c>
      <c r="K12" s="25">
        <v>25</v>
      </c>
      <c r="L12" s="22">
        <f>SUM(I12:K12)</f>
        <v>55</v>
      </c>
      <c r="M12" s="25">
        <v>25</v>
      </c>
      <c r="N12" s="25">
        <v>25</v>
      </c>
      <c r="O12" s="25">
        <v>20</v>
      </c>
      <c r="P12" s="25">
        <v>25</v>
      </c>
      <c r="Q12" s="25">
        <v>25</v>
      </c>
      <c r="R12" s="22">
        <f>SUM(M12:Q12)</f>
        <v>120</v>
      </c>
    </row>
    <row r="13" spans="1:18" s="6" customFormat="1" x14ac:dyDescent="0.3">
      <c r="A13" s="20" t="s">
        <v>32</v>
      </c>
      <c r="B13" s="20"/>
      <c r="C13" s="20">
        <f>SUM(C10:C12)</f>
        <v>56</v>
      </c>
      <c r="D13" s="20">
        <f t="shared" ref="D13:F13" si="3">SUM(D10:D12)</f>
        <v>55</v>
      </c>
      <c r="E13" s="20">
        <f t="shared" si="3"/>
        <v>50</v>
      </c>
      <c r="F13" s="20">
        <f t="shared" si="3"/>
        <v>65</v>
      </c>
      <c r="G13" s="20">
        <f>SUM(C13:F13)</f>
        <v>226</v>
      </c>
      <c r="H13" s="20">
        <f t="shared" ref="H13:O13" si="4">SUM(H11:H12)</f>
        <v>30</v>
      </c>
      <c r="I13" s="20">
        <f t="shared" si="4"/>
        <v>25</v>
      </c>
      <c r="J13" s="20">
        <f t="shared" si="4"/>
        <v>50</v>
      </c>
      <c r="K13" s="20">
        <f t="shared" si="4"/>
        <v>50</v>
      </c>
      <c r="L13" s="20">
        <f>SUM(L10:L12)</f>
        <v>167</v>
      </c>
      <c r="M13" s="20">
        <f t="shared" si="4"/>
        <v>50</v>
      </c>
      <c r="N13" s="20">
        <f t="shared" si="4"/>
        <v>50</v>
      </c>
      <c r="O13" s="20">
        <f t="shared" si="4"/>
        <v>40</v>
      </c>
      <c r="P13" s="20">
        <f t="shared" ref="P13:Q13" si="5">SUM(P11:P12)</f>
        <v>50</v>
      </c>
      <c r="Q13" s="20">
        <f t="shared" si="5"/>
        <v>50</v>
      </c>
      <c r="R13" s="20">
        <f>SUM(R10:R12)</f>
        <v>312</v>
      </c>
    </row>
    <row r="14" spans="1:18" s="6" customForma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 s="6" customFormat="1" x14ac:dyDescent="0.3">
      <c r="A15" s="43" t="s">
        <v>57</v>
      </c>
      <c r="B15" s="20"/>
      <c r="C15" s="25">
        <v>17</v>
      </c>
      <c r="D15" s="25">
        <v>17</v>
      </c>
      <c r="E15" s="25">
        <v>10</v>
      </c>
      <c r="F15" s="25">
        <v>7</v>
      </c>
      <c r="G15" s="22">
        <f>SUM(C15:F15)</f>
        <v>51</v>
      </c>
      <c r="H15" s="25">
        <v>13</v>
      </c>
      <c r="I15" s="25">
        <v>13</v>
      </c>
      <c r="J15" s="25">
        <v>17</v>
      </c>
      <c r="K15" s="25">
        <v>17</v>
      </c>
      <c r="L15" s="22">
        <f>SUM(H15:K15)</f>
        <v>60</v>
      </c>
      <c r="M15" s="25">
        <v>17</v>
      </c>
      <c r="N15" s="25">
        <v>17</v>
      </c>
      <c r="O15" s="25">
        <v>13</v>
      </c>
      <c r="P15" s="25">
        <v>17</v>
      </c>
      <c r="Q15" s="25">
        <v>17</v>
      </c>
      <c r="R15" s="22">
        <f>SUM(M15:Q15)</f>
        <v>81</v>
      </c>
    </row>
    <row r="16" spans="1:18" s="6" customFormat="1" x14ac:dyDescent="0.3">
      <c r="A16" s="43" t="s">
        <v>58</v>
      </c>
      <c r="B16" s="20"/>
      <c r="C16" s="25">
        <v>21</v>
      </c>
      <c r="D16" s="25">
        <v>0</v>
      </c>
      <c r="E16" s="25">
        <v>14</v>
      </c>
      <c r="F16" s="25">
        <v>35</v>
      </c>
      <c r="G16" s="22">
        <f>SUM(C16:F16)</f>
        <v>70</v>
      </c>
      <c r="H16" s="25">
        <v>28</v>
      </c>
      <c r="I16" s="25">
        <v>28</v>
      </c>
      <c r="J16" s="25">
        <v>35</v>
      </c>
      <c r="K16" s="25">
        <v>35</v>
      </c>
      <c r="L16" s="22">
        <f>SUM(H16:K16)</f>
        <v>126</v>
      </c>
      <c r="M16" s="25">
        <v>35</v>
      </c>
      <c r="N16" s="25">
        <v>35</v>
      </c>
      <c r="O16" s="25">
        <v>21</v>
      </c>
      <c r="P16" s="25">
        <v>14</v>
      </c>
      <c r="Q16" s="25">
        <v>35</v>
      </c>
      <c r="R16" s="22">
        <f t="shared" ref="R16:R17" si="6">SUM(M16:Q16)</f>
        <v>140</v>
      </c>
    </row>
    <row r="17" spans="1:18" x14ac:dyDescent="0.3">
      <c r="A17" s="43" t="s">
        <v>59</v>
      </c>
      <c r="B17" s="22"/>
      <c r="C17" s="25">
        <v>17</v>
      </c>
      <c r="D17" s="25">
        <v>17</v>
      </c>
      <c r="E17" s="25">
        <v>17</v>
      </c>
      <c r="F17" s="25">
        <v>17</v>
      </c>
      <c r="G17" s="22">
        <f>SUM(C17:F17)</f>
        <v>68</v>
      </c>
      <c r="H17" s="25">
        <v>13</v>
      </c>
      <c r="I17" s="25">
        <v>13</v>
      </c>
      <c r="J17" s="25">
        <v>17</v>
      </c>
      <c r="K17" s="25">
        <v>17</v>
      </c>
      <c r="L17" s="22">
        <f>SUM(H17:K17)</f>
        <v>60</v>
      </c>
      <c r="M17" s="25">
        <v>17</v>
      </c>
      <c r="N17" s="25">
        <v>17</v>
      </c>
      <c r="O17" s="25">
        <v>13</v>
      </c>
      <c r="P17" s="25">
        <v>17</v>
      </c>
      <c r="Q17" s="25">
        <v>17</v>
      </c>
      <c r="R17" s="22">
        <f t="shared" si="6"/>
        <v>81</v>
      </c>
    </row>
    <row r="18" spans="1:18" s="6" customFormat="1" x14ac:dyDescent="0.3">
      <c r="A18" s="20" t="s">
        <v>33</v>
      </c>
      <c r="B18" s="20"/>
      <c r="C18" s="20">
        <f t="shared" ref="C18:H18" si="7">SUM(C15:C17)</f>
        <v>55</v>
      </c>
      <c r="D18" s="20">
        <f t="shared" si="7"/>
        <v>34</v>
      </c>
      <c r="E18" s="20">
        <f t="shared" ref="E18" si="8">SUM(E15:E17)</f>
        <v>41</v>
      </c>
      <c r="F18" s="20">
        <f t="shared" si="7"/>
        <v>59</v>
      </c>
      <c r="G18" s="20">
        <f>SUM(G15:G17)</f>
        <v>189</v>
      </c>
      <c r="H18" s="20">
        <f t="shared" si="7"/>
        <v>54</v>
      </c>
      <c r="I18" s="20">
        <f t="shared" ref="I18" si="9">SUM(I15:I17)</f>
        <v>54</v>
      </c>
      <c r="J18" s="20">
        <f t="shared" ref="J18" si="10">SUM(J15:J17)</f>
        <v>69</v>
      </c>
      <c r="K18" s="20">
        <f t="shared" ref="K18" si="11">SUM(K15:K17)</f>
        <v>69</v>
      </c>
      <c r="L18" s="20">
        <f>SUM(L15:L17)</f>
        <v>246</v>
      </c>
      <c r="M18" s="20">
        <f t="shared" ref="M18" si="12">SUM(M15:M17)</f>
        <v>69</v>
      </c>
      <c r="N18" s="20">
        <f t="shared" ref="N18" si="13">SUM(N15:N17)</f>
        <v>69</v>
      </c>
      <c r="O18" s="20">
        <f t="shared" ref="O18" si="14">SUM(O15:O17)</f>
        <v>47</v>
      </c>
      <c r="P18" s="20">
        <f t="shared" ref="P18:Q18" si="15">SUM(P15:P17)</f>
        <v>48</v>
      </c>
      <c r="Q18" s="20">
        <f t="shared" si="15"/>
        <v>69</v>
      </c>
      <c r="R18" s="20">
        <f>SUM(R15:R17)</f>
        <v>302</v>
      </c>
    </row>
    <row r="25" spans="1:18" x14ac:dyDescent="0.3">
      <c r="B25" s="3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1CAB-E1CE-418C-98A7-D987FADC5FF5}">
  <dimension ref="A1:I14"/>
  <sheetViews>
    <sheetView workbookViewId="0">
      <selection activeCell="F5" sqref="F5"/>
    </sheetView>
  </sheetViews>
  <sheetFormatPr defaultRowHeight="14.4" x14ac:dyDescent="0.3"/>
  <cols>
    <col min="1" max="1" width="21.44140625" bestFit="1" customWidth="1"/>
    <col min="2" max="3" width="25.5546875" customWidth="1"/>
    <col min="4" max="4" width="16.109375" bestFit="1" customWidth="1"/>
    <col min="5" max="5" width="16.109375" style="29" customWidth="1"/>
    <col min="6" max="6" width="16.44140625" style="28" customWidth="1"/>
    <col min="7" max="7" width="16.109375" style="29" customWidth="1"/>
    <col min="8" max="8" width="39" style="28" customWidth="1"/>
    <col min="9" max="9" width="82" customWidth="1"/>
  </cols>
  <sheetData>
    <row r="1" spans="1:9" s="28" customFormat="1" x14ac:dyDescent="0.3">
      <c r="E1" s="29"/>
      <c r="G1" s="29"/>
    </row>
    <row r="2" spans="1:9" s="28" customFormat="1" x14ac:dyDescent="0.3">
      <c r="E2" s="29"/>
      <c r="G2" s="29"/>
    </row>
    <row r="3" spans="1:9" s="28" customFormat="1" x14ac:dyDescent="0.3">
      <c r="A3" s="30" t="s">
        <v>19</v>
      </c>
      <c r="E3" s="29"/>
      <c r="G3" s="29"/>
      <c r="I3" s="30"/>
    </row>
    <row r="4" spans="1:9" s="32" customFormat="1" x14ac:dyDescent="0.3">
      <c r="A4" s="17" t="s">
        <v>21</v>
      </c>
      <c r="B4" s="17" t="s">
        <v>37</v>
      </c>
      <c r="C4" s="17" t="s">
        <v>34</v>
      </c>
      <c r="D4" s="31" t="s">
        <v>40</v>
      </c>
      <c r="E4" s="33" t="s">
        <v>35</v>
      </c>
      <c r="F4" s="31" t="s">
        <v>41</v>
      </c>
      <c r="G4" s="33" t="s">
        <v>36</v>
      </c>
      <c r="H4" s="31" t="s">
        <v>41</v>
      </c>
    </row>
    <row r="5" spans="1:9" ht="100.8" x14ac:dyDescent="0.3">
      <c r="A5" s="14" t="s">
        <v>20</v>
      </c>
      <c r="B5" s="27">
        <v>35</v>
      </c>
      <c r="C5" s="34">
        <v>15</v>
      </c>
      <c r="D5" s="16" t="s">
        <v>39</v>
      </c>
      <c r="E5" s="26">
        <v>10</v>
      </c>
      <c r="F5" s="16" t="s">
        <v>38</v>
      </c>
      <c r="G5" s="26">
        <v>10</v>
      </c>
      <c r="H5" s="16" t="s">
        <v>44</v>
      </c>
    </row>
    <row r="6" spans="1:9" s="28" customFormat="1" ht="8.25" customHeight="1" x14ac:dyDescent="0.3">
      <c r="A6" s="47"/>
      <c r="B6" s="47"/>
      <c r="C6" s="47"/>
      <c r="D6" s="47"/>
      <c r="E6" s="47"/>
      <c r="F6" s="47"/>
      <c r="G6" s="47"/>
      <c r="H6" s="47"/>
    </row>
    <row r="7" spans="1:9" s="32" customFormat="1" ht="43.2" x14ac:dyDescent="0.3">
      <c r="A7" s="17" t="s">
        <v>21</v>
      </c>
      <c r="B7" s="17" t="s">
        <v>37</v>
      </c>
      <c r="C7" s="17" t="s">
        <v>42</v>
      </c>
      <c r="D7" s="31" t="s">
        <v>40</v>
      </c>
      <c r="E7" s="33" t="s">
        <v>43</v>
      </c>
      <c r="F7" s="31" t="s">
        <v>41</v>
      </c>
      <c r="G7" s="33" t="s">
        <v>36</v>
      </c>
      <c r="H7" s="31" t="s">
        <v>41</v>
      </c>
    </row>
    <row r="8" spans="1:9" ht="57.6" x14ac:dyDescent="0.3">
      <c r="A8" s="14" t="s">
        <v>22</v>
      </c>
      <c r="B8" s="27">
        <v>35</v>
      </c>
      <c r="C8" s="34">
        <v>25</v>
      </c>
      <c r="D8" s="16" t="s">
        <v>45</v>
      </c>
      <c r="E8" s="26">
        <v>5</v>
      </c>
      <c r="F8" s="16" t="s">
        <v>46</v>
      </c>
      <c r="G8" s="26">
        <v>5</v>
      </c>
      <c r="H8" s="16" t="s">
        <v>49</v>
      </c>
    </row>
    <row r="9" spans="1:9" x14ac:dyDescent="0.3">
      <c r="A9" s="14"/>
      <c r="B9" s="27"/>
      <c r="C9" s="26"/>
      <c r="D9" s="16"/>
      <c r="E9" s="26"/>
      <c r="F9" s="16"/>
      <c r="G9" s="26"/>
      <c r="H9" s="16"/>
    </row>
    <row r="10" spans="1:9" s="32" customFormat="1" x14ac:dyDescent="0.3">
      <c r="A10" s="17" t="s">
        <v>21</v>
      </c>
      <c r="B10" s="17" t="s">
        <v>37</v>
      </c>
      <c r="C10" s="17" t="s">
        <v>47</v>
      </c>
      <c r="D10" s="31" t="s">
        <v>40</v>
      </c>
      <c r="E10" s="33" t="s">
        <v>51</v>
      </c>
      <c r="F10" s="31" t="s">
        <v>40</v>
      </c>
      <c r="G10" s="33" t="s">
        <v>36</v>
      </c>
      <c r="H10" s="31" t="s">
        <v>41</v>
      </c>
    </row>
    <row r="11" spans="1:9" ht="115.2" x14ac:dyDescent="0.3">
      <c r="A11" s="14" t="s">
        <v>23</v>
      </c>
      <c r="B11" s="27">
        <v>35</v>
      </c>
      <c r="C11" s="34">
        <v>25</v>
      </c>
      <c r="D11" s="16" t="s">
        <v>50</v>
      </c>
      <c r="E11" s="26">
        <v>5</v>
      </c>
      <c r="F11" s="16" t="s">
        <v>52</v>
      </c>
      <c r="G11" s="26">
        <v>5</v>
      </c>
      <c r="H11" s="16" t="s">
        <v>48</v>
      </c>
    </row>
    <row r="12" spans="1:9" x14ac:dyDescent="0.3">
      <c r="B12" s="6"/>
      <c r="C12" s="6"/>
    </row>
    <row r="14" spans="1:9" x14ac:dyDescent="0.3">
      <c r="A14" s="34"/>
      <c r="B14" t="s">
        <v>53</v>
      </c>
    </row>
  </sheetData>
  <mergeCells count="1">
    <mergeCell ref="A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Сводный ресурсный план</vt:lpstr>
      <vt:lpstr>Детальный ресурсный план </vt:lpstr>
      <vt:lpstr>Типовые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Щепунова</dc:creator>
  <cp:lastModifiedBy>Валерия Благушина</cp:lastModifiedBy>
  <dcterms:created xsi:type="dcterms:W3CDTF">2024-12-05T06:37:04Z</dcterms:created>
  <dcterms:modified xsi:type="dcterms:W3CDTF">2026-03-19T09:10:04Z</dcterms:modified>
</cp:coreProperties>
</file>