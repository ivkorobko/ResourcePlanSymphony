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Рабочий стол\"/>
    </mc:Choice>
  </mc:AlternateContent>
  <xr:revisionPtr revIDLastSave="0" documentId="13_ncr:1_{300536BF-EF9A-4E1D-B28C-0EAD74678AD0}" xr6:coauthVersionLast="36" xr6:coauthVersionMax="47" xr10:uidLastSave="{00000000-0000-0000-0000-000000000000}"/>
  <bookViews>
    <workbookView xWindow="0" yWindow="0" windowWidth="23040" windowHeight="9588" xr2:uid="{5E6FCA0E-46C0-40E8-9B52-9261C0F795EB}"/>
  </bookViews>
  <sheets>
    <sheet name="Сводный ресурсный план" sheetId="1" r:id="rId1"/>
    <sheet name="Детальный ресурсный план " sheetId="2" r:id="rId2"/>
    <sheet name="Типовые задачи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2" l="1"/>
  <c r="P16" i="2" s="1"/>
  <c r="P11" i="2"/>
  <c r="P10" i="2"/>
  <c r="P9" i="2"/>
  <c r="P8" i="2"/>
  <c r="P12" i="2" s="1"/>
  <c r="P6" i="2"/>
  <c r="P5" i="2"/>
  <c r="O16" i="2"/>
  <c r="O12" i="2"/>
  <c r="O6" i="2"/>
  <c r="N16" i="2"/>
  <c r="N12" i="2"/>
  <c r="N6" i="2"/>
  <c r="M16" i="2"/>
  <c r="M12" i="2"/>
  <c r="M6" i="2"/>
  <c r="L16" i="2"/>
  <c r="L12" i="2"/>
  <c r="L6" i="2"/>
  <c r="K16" i="2"/>
  <c r="K14" i="2"/>
  <c r="K11" i="2"/>
  <c r="K10" i="2"/>
  <c r="K9" i="2"/>
  <c r="K12" i="2"/>
  <c r="K5" i="2"/>
  <c r="K6" i="2" s="1"/>
  <c r="J16" i="2"/>
  <c r="J12" i="2"/>
  <c r="J6" i="2"/>
  <c r="I16" i="2"/>
  <c r="I12" i="2"/>
  <c r="I6" i="2"/>
  <c r="H16" i="2"/>
  <c r="H12" i="2"/>
  <c r="H6" i="2"/>
  <c r="G16" i="2"/>
  <c r="G12" i="2"/>
  <c r="G6" i="2"/>
  <c r="F14" i="2"/>
  <c r="F16" i="2" s="1"/>
  <c r="F11" i="2"/>
  <c r="F10" i="2"/>
  <c r="F9" i="2"/>
  <c r="F12" i="2"/>
  <c r="F6" i="2"/>
  <c r="F5" i="2"/>
  <c r="E16" i="2"/>
  <c r="E12" i="2"/>
  <c r="E6" i="2"/>
  <c r="D16" i="2"/>
  <c r="D12" i="2"/>
  <c r="D6" i="2"/>
  <c r="C16" i="2"/>
  <c r="C12" i="2"/>
  <c r="C6" i="2"/>
  <c r="B16" i="2"/>
  <c r="B12" i="2"/>
  <c r="B6" i="2"/>
  <c r="E18" i="1" l="1"/>
  <c r="H9" i="1" l="1"/>
  <c r="H8" i="1"/>
  <c r="H7" i="1"/>
  <c r="I9" i="1"/>
  <c r="J8" i="1"/>
  <c r="I8" i="1"/>
  <c r="J7" i="1"/>
  <c r="I7" i="1"/>
  <c r="F16" i="1" l="1"/>
  <c r="B50" i="1"/>
  <c r="B43" i="1"/>
  <c r="B35" i="1"/>
  <c r="B27" i="1"/>
  <c r="C6" i="1"/>
  <c r="D16" i="1" l="1"/>
  <c r="C16" i="1"/>
  <c r="G42" i="1"/>
  <c r="C42" i="1" s="1"/>
  <c r="G34" i="1"/>
  <c r="C34" i="1" s="1"/>
  <c r="E16" i="1"/>
  <c r="G26" i="1"/>
  <c r="F26" i="1" l="1"/>
  <c r="C26" i="1"/>
  <c r="G32" i="1"/>
  <c r="G40" i="1"/>
  <c r="G33" i="1"/>
  <c r="F33" i="1" s="1"/>
  <c r="F42" i="1"/>
  <c r="G49" i="1"/>
  <c r="G25" i="1"/>
  <c r="C25" i="1" s="1"/>
  <c r="F34" i="1"/>
  <c r="E34" i="1"/>
  <c r="E42" i="1"/>
  <c r="E26" i="1"/>
  <c r="D42" i="1"/>
  <c r="D26" i="1"/>
  <c r="D34" i="1"/>
  <c r="G24" i="1"/>
  <c r="C24" i="1" s="1"/>
  <c r="F18" i="1"/>
  <c r="F17" i="1"/>
  <c r="E17" i="1"/>
  <c r="D18" i="1"/>
  <c r="C18" i="1"/>
  <c r="D17" i="1"/>
  <c r="C17" i="1"/>
  <c r="C9" i="1"/>
  <c r="G41" i="1" l="1"/>
  <c r="C41" i="1" s="1"/>
  <c r="F40" i="1"/>
  <c r="G43" i="1"/>
  <c r="C40" i="1"/>
  <c r="C43" i="1" s="1"/>
  <c r="F32" i="1"/>
  <c r="F35" i="1" s="1"/>
  <c r="C32" i="1"/>
  <c r="E40" i="1"/>
  <c r="F19" i="1"/>
  <c r="D40" i="1"/>
  <c r="E41" i="1"/>
  <c r="F25" i="1"/>
  <c r="C33" i="1"/>
  <c r="G48" i="1"/>
  <c r="E33" i="1"/>
  <c r="D32" i="1"/>
  <c r="G35" i="1"/>
  <c r="E32" i="1"/>
  <c r="D33" i="1"/>
  <c r="G47" i="1"/>
  <c r="E25" i="1"/>
  <c r="D25" i="1"/>
  <c r="F49" i="1"/>
  <c r="D49" i="1"/>
  <c r="F24" i="1"/>
  <c r="D24" i="1"/>
  <c r="E24" i="1"/>
  <c r="G27" i="1"/>
  <c r="C49" i="1"/>
  <c r="E49" i="1"/>
  <c r="G17" i="1"/>
  <c r="E19" i="1"/>
  <c r="G16" i="1"/>
  <c r="G18" i="1"/>
  <c r="C19" i="1"/>
  <c r="D19" i="1"/>
  <c r="C5" i="1"/>
  <c r="B19" i="1"/>
  <c r="D41" i="1" l="1"/>
  <c r="C47" i="1"/>
  <c r="F41" i="1"/>
  <c r="F43" i="1" s="1"/>
  <c r="F47" i="1"/>
  <c r="D43" i="1"/>
  <c r="E43" i="1"/>
  <c r="D35" i="1"/>
  <c r="C48" i="1"/>
  <c r="E35" i="1"/>
  <c r="E48" i="1"/>
  <c r="G50" i="1"/>
  <c r="C35" i="1"/>
  <c r="D47" i="1"/>
  <c r="D48" i="1"/>
  <c r="E47" i="1"/>
  <c r="C27" i="1"/>
  <c r="F27" i="1"/>
  <c r="D27" i="1"/>
  <c r="E27" i="1"/>
  <c r="G19" i="1"/>
  <c r="F48" i="1" l="1"/>
  <c r="F50" i="1" s="1"/>
  <c r="C50" i="1"/>
  <c r="D50" i="1"/>
  <c r="E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" authorId="0" shapeId="0" xr:uid="{E45A6D03-3F5C-425F-87F1-9B023EB851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30.04 сокращенный день - 1 час 
01.05 выходной -7 ч.</t>
        </r>
      </text>
    </comment>
    <comment ref="H3" authorId="0" shapeId="0" xr:uid="{CB9E41E5-227D-444D-A3BE-259FE62BFF3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08.05 сокращенный день - 1 час 
11.05 выходной -7 ч.</t>
        </r>
      </text>
    </comment>
    <comment ref="M3" authorId="0" shapeId="0" xr:uid="{A0992FD8-2535-4E86-88D3-F83BCCA282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11.06 сокращенный день - 1 час 
12.06 выходной -7 ч.</t>
        </r>
      </text>
    </comment>
    <comment ref="O3" authorId="0" shapeId="0" xr:uid="{4533DCA8-D87C-4E09-A08D-8EE18BA621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-16 ч. У Леши отпуск с 29.06-05.07</t>
        </r>
      </text>
    </comment>
  </commentList>
</comments>
</file>

<file path=xl/sharedStrings.xml><?xml version="1.0" encoding="utf-8"?>
<sst xmlns="http://schemas.openxmlformats.org/spreadsheetml/2006/main" count="147" uniqueCount="80">
  <si>
    <t>Ресурсы</t>
  </si>
  <si>
    <t>Ключевые задачи</t>
  </si>
  <si>
    <t>Тестирование</t>
  </si>
  <si>
    <t>Итого</t>
  </si>
  <si>
    <t>Аналитики</t>
  </si>
  <si>
    <t>Разработка</t>
  </si>
  <si>
    <t xml:space="preserve">1 спринт (полный, без учета отпусков) </t>
  </si>
  <si>
    <t>Количество  сотрудников</t>
  </si>
  <si>
    <t>Поддержка</t>
  </si>
  <si>
    <t>спринта</t>
  </si>
  <si>
    <t xml:space="preserve">Итого квартал </t>
  </si>
  <si>
    <t xml:space="preserve">Всего </t>
  </si>
  <si>
    <t>Задачи бизнеса</t>
  </si>
  <si>
    <t xml:space="preserve">Внутренние задачи </t>
  </si>
  <si>
    <t xml:space="preserve">Задачи поддержки (текущие небольшие задачи) </t>
  </si>
  <si>
    <t>Задачи архитектуры</t>
  </si>
  <si>
    <t xml:space="preserve">Прочие задачи ИТ (заявки админов, баги, рефакторинг и прочее) </t>
  </si>
  <si>
    <t xml:space="preserve">Ключевые задачи  (развитие бизнеса)  - от общего количества времени </t>
  </si>
  <si>
    <t xml:space="preserve">Распределение времени по кварталу </t>
  </si>
  <si>
    <t xml:space="preserve">План на 1 сотрудника </t>
  </si>
  <si>
    <t xml:space="preserve">Аналитик </t>
  </si>
  <si>
    <t xml:space="preserve"> Должность </t>
  </si>
  <si>
    <t xml:space="preserve">Разработчик </t>
  </si>
  <si>
    <t>Тестировщик</t>
  </si>
  <si>
    <t xml:space="preserve">Задачи Архитектуры </t>
  </si>
  <si>
    <t xml:space="preserve">Прочие задачи ИТ </t>
  </si>
  <si>
    <t xml:space="preserve">1 месяц </t>
  </si>
  <si>
    <t xml:space="preserve">2 месяц </t>
  </si>
  <si>
    <t xml:space="preserve">3 месяц </t>
  </si>
  <si>
    <t xml:space="preserve">Дата спринта </t>
  </si>
  <si>
    <t xml:space="preserve">№ спринта </t>
  </si>
  <si>
    <t xml:space="preserve">Итого Аналитики </t>
  </si>
  <si>
    <t xml:space="preserve">Итого Разработчики </t>
  </si>
  <si>
    <t xml:space="preserve">Итого Тестировщики </t>
  </si>
  <si>
    <t>ТЗ</t>
  </si>
  <si>
    <t xml:space="preserve">Сопровождение </t>
  </si>
  <si>
    <t xml:space="preserve">Прочие задачи </t>
  </si>
  <si>
    <t xml:space="preserve">Всего часов в спринте </t>
  </si>
  <si>
    <t xml:space="preserve"> тестирование по бизнес-процессам, сопровождение задачи после выкатки на бой </t>
  </si>
  <si>
    <t>Время на сбор требований,  написание ТЗ, согласование ТЗ и ответы на вопросы при согласовании ТЗ</t>
  </si>
  <si>
    <t>Описание работ</t>
  </si>
  <si>
    <t xml:space="preserve">Описание работ </t>
  </si>
  <si>
    <t xml:space="preserve">Разработка </t>
  </si>
  <si>
    <t xml:space="preserve">Исправление багов при разработке </t>
  </si>
  <si>
    <t xml:space="preserve">Организационные встречи (митапы, ретро). Рабочие встречи с заказчиками (в том числе внутренними) для обсуждения предстоящих работ (по которым еще нет задач в Битрикс/Jira) </t>
  </si>
  <si>
    <t xml:space="preserve">Время на разработку задач спринта </t>
  </si>
  <si>
    <t xml:space="preserve">Время на исправление багов по задачам спринта </t>
  </si>
  <si>
    <t xml:space="preserve">Тестирование </t>
  </si>
  <si>
    <t xml:space="preserve">Организационные встречи (митапы, ретро и проче), обсуждение задач вне задач спринта </t>
  </si>
  <si>
    <t xml:space="preserve">Организационные встречи (митапы, ретро), оценка задач, код-ревью, обсуждение задач вне задач спринта </t>
  </si>
  <si>
    <t xml:space="preserve">Тестирование задач спринта </t>
  </si>
  <si>
    <t xml:space="preserve">Баги с прода </t>
  </si>
  <si>
    <t xml:space="preserve">Анализ выявленных багов с прода, постановка багов разработчикам или объяснение корректности работы </t>
  </si>
  <si>
    <t>время, учитываемое при планировании квартальных задач (любых)</t>
  </si>
  <si>
    <t xml:space="preserve">Часов в спринте для расчета времени на ТЗ  </t>
  </si>
  <si>
    <t xml:space="preserve">Информационное поле, не участвуюущее в расчетах </t>
  </si>
  <si>
    <t xml:space="preserve">Задачи планируются на разработчиков и аналитиков, исходя их полной загрузки. Планирование задач на тим-лидов аналитиков и разработчиков зависит от конкретной ИС (детали отражены в Детальном ресурсном плане) </t>
  </si>
  <si>
    <t>Сатдинов Ф.</t>
  </si>
  <si>
    <t>Ахметзянова А.</t>
  </si>
  <si>
    <t>Ступин А.</t>
  </si>
  <si>
    <t>Чепурин Д.</t>
  </si>
  <si>
    <t>Власова Ю.</t>
  </si>
  <si>
    <t>Прочие задачи</t>
  </si>
  <si>
    <t>22.04.26 - 28.04.26</t>
  </si>
  <si>
    <t>01.04.26 - 07.04.26</t>
  </si>
  <si>
    <t xml:space="preserve">08.04.26 - 14.04.26 </t>
  </si>
  <si>
    <t>15.04.26 - 21.04.26</t>
  </si>
  <si>
    <t xml:space="preserve"> итого апрель</t>
  </si>
  <si>
    <t xml:space="preserve">29.04.26 - 05.05.26 </t>
  </si>
  <si>
    <t>06.05.26 - 12.05.26</t>
  </si>
  <si>
    <t>20.05.26 - 26.05.26</t>
  </si>
  <si>
    <t>27.05.26 - 02.06.26</t>
  </si>
  <si>
    <t>итого май</t>
  </si>
  <si>
    <t>03.06.26 - 09.06.26</t>
  </si>
  <si>
    <t>10.06.26 - 16.06.26</t>
  </si>
  <si>
    <t xml:space="preserve">17.06.26 - 23.06.26 </t>
  </si>
  <si>
    <t>24.06.26 - 30.06.26</t>
  </si>
  <si>
    <t>июнь</t>
  </si>
  <si>
    <t xml:space="preserve">Ресурсный план 2  квартал </t>
  </si>
  <si>
    <t>Квартал: 1442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</si>
</sst>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name val="Calibri"/>
      <family val="2"/>
      <charset val="204"/>
      <scheme val="minor"/>
    </font>
    <font>
      <u val="double"/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0" fillId="5" borderId="0" xfId="0" applyFill="1"/>
    <xf numFmtId="9" fontId="0" fillId="3" borderId="1" xfId="0" applyNumberFormat="1" applyFill="1" applyBorder="1"/>
    <xf numFmtId="9" fontId="1" fillId="5" borderId="1" xfId="0" applyNumberFormat="1" applyFont="1" applyFill="1" applyBorder="1"/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1" fillId="7" borderId="2" xfId="0" applyFont="1" applyFill="1" applyBorder="1"/>
    <xf numFmtId="0" fontId="1" fillId="0" borderId="3" xfId="0" applyFont="1" applyBorder="1"/>
    <xf numFmtId="0" fontId="11" fillId="7" borderId="3" xfId="0" applyFont="1" applyFill="1" applyBorder="1"/>
    <xf numFmtId="0" fontId="1" fillId="7" borderId="3" xfId="0" applyFont="1" applyFill="1" applyBorder="1"/>
    <xf numFmtId="0" fontId="3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/>
    <xf numFmtId="0" fontId="12" fillId="2" borderId="1" xfId="0" applyFont="1" applyFill="1" applyBorder="1"/>
    <xf numFmtId="0" fontId="12" fillId="6" borderId="1" xfId="0" applyFont="1" applyFill="1" applyBorder="1"/>
    <xf numFmtId="0" fontId="1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85E4-07B0-4801-A5D0-5DCCC04239A9}">
  <dimension ref="A1:J54"/>
  <sheetViews>
    <sheetView tabSelected="1" topLeftCell="A25" workbookViewId="0">
      <selection activeCell="G27" sqref="G27"/>
    </sheetView>
  </sheetViews>
  <sheetFormatPr defaultColWidth="8.77734375" defaultRowHeight="14.4" x14ac:dyDescent="0.3"/>
  <cols>
    <col min="1" max="1" width="13.77734375" customWidth="1"/>
    <col min="2" max="2" width="27.33203125" customWidth="1"/>
    <col min="3" max="3" width="13.6640625" customWidth="1"/>
    <col min="4" max="4" width="12.6640625" customWidth="1"/>
    <col min="5" max="6" width="17.44140625" customWidth="1"/>
    <col min="7" max="7" width="16.33203125" customWidth="1"/>
    <col min="8" max="8" width="23.44140625" customWidth="1"/>
    <col min="9" max="9" width="15.77734375" customWidth="1"/>
    <col min="10" max="10" width="19.109375" customWidth="1"/>
  </cols>
  <sheetData>
    <row r="1" spans="1:10" s="9" customFormat="1" ht="18" x14ac:dyDescent="0.35">
      <c r="A1" s="9" t="s">
        <v>78</v>
      </c>
    </row>
    <row r="3" spans="1:10" s="7" customFormat="1" ht="15.6" x14ac:dyDescent="0.3">
      <c r="A3" s="7" t="s">
        <v>18</v>
      </c>
    </row>
    <row r="4" spans="1:10" s="7" customFormat="1" ht="8.25" customHeight="1" x14ac:dyDescent="0.3"/>
    <row r="5" spans="1:10" s="5" customFormat="1" x14ac:dyDescent="0.3">
      <c r="A5" s="10" t="s">
        <v>11</v>
      </c>
      <c r="B5" s="10"/>
      <c r="C5" s="11">
        <f>C6+C9</f>
        <v>1</v>
      </c>
      <c r="F5" s="5" t="s">
        <v>19</v>
      </c>
      <c r="G5"/>
      <c r="H5"/>
      <c r="I5"/>
    </row>
    <row r="6" spans="1:10" s="5" customFormat="1" ht="28.8" x14ac:dyDescent="0.3">
      <c r="A6" s="10" t="s">
        <v>12</v>
      </c>
      <c r="B6" s="10"/>
      <c r="C6" s="37">
        <f>C7+C8</f>
        <v>0.7</v>
      </c>
      <c r="F6"/>
      <c r="G6" s="14" t="s">
        <v>21</v>
      </c>
      <c r="H6" s="16" t="s">
        <v>54</v>
      </c>
      <c r="I6" s="16" t="s">
        <v>35</v>
      </c>
      <c r="J6" s="39" t="s">
        <v>62</v>
      </c>
    </row>
    <row r="7" spans="1:10" ht="43.2" x14ac:dyDescent="0.3">
      <c r="A7" s="12"/>
      <c r="B7" s="12" t="s">
        <v>17</v>
      </c>
      <c r="C7" s="36">
        <v>0.5</v>
      </c>
      <c r="F7" s="5"/>
      <c r="G7" s="13" t="s">
        <v>20</v>
      </c>
      <c r="H7" s="23">
        <f>'Типовые задачи'!C5</f>
        <v>23</v>
      </c>
      <c r="I7" s="23">
        <f>'Типовые задачи'!E5</f>
        <v>4</v>
      </c>
      <c r="J7" s="23">
        <f>'Типовые задачи'!G5</f>
        <v>8</v>
      </c>
    </row>
    <row r="8" spans="1:10" ht="28.8" x14ac:dyDescent="0.3">
      <c r="A8" s="12"/>
      <c r="B8" s="12" t="s">
        <v>14</v>
      </c>
      <c r="C8" s="36">
        <v>0.2</v>
      </c>
      <c r="G8" s="13" t="s">
        <v>22</v>
      </c>
      <c r="H8" s="23">
        <f>'Типовые задачи'!C8</f>
        <v>20</v>
      </c>
      <c r="I8" s="23">
        <f>'Типовые задачи'!E8</f>
        <v>10</v>
      </c>
      <c r="J8" s="41">
        <f>'Типовые задачи'!G8</f>
        <v>5</v>
      </c>
    </row>
    <row r="9" spans="1:10" s="5" customFormat="1" ht="28.8" x14ac:dyDescent="0.3">
      <c r="A9" s="10" t="s">
        <v>13</v>
      </c>
      <c r="B9" s="10"/>
      <c r="C9" s="37">
        <f>C10+C11</f>
        <v>0.3</v>
      </c>
      <c r="F9"/>
      <c r="G9" s="13" t="s">
        <v>23</v>
      </c>
      <c r="H9" s="23">
        <f>'Типовые задачи'!C11</f>
        <v>10.5</v>
      </c>
      <c r="I9" s="23">
        <f>'Типовые задачи'!E11</f>
        <v>7</v>
      </c>
      <c r="J9" s="40">
        <v>0</v>
      </c>
    </row>
    <row r="10" spans="1:10" x14ac:dyDescent="0.3">
      <c r="A10" s="12"/>
      <c r="B10" s="12" t="s">
        <v>15</v>
      </c>
      <c r="C10" s="36">
        <v>0.05</v>
      </c>
      <c r="F10" s="5"/>
      <c r="G10" s="5"/>
      <c r="H10" s="5"/>
      <c r="I10" s="5"/>
    </row>
    <row r="11" spans="1:10" ht="99" customHeight="1" x14ac:dyDescent="0.3">
      <c r="A11" s="12"/>
      <c r="B11" s="12" t="s">
        <v>16</v>
      </c>
      <c r="C11" s="36">
        <v>0.25</v>
      </c>
      <c r="F11" s="51" t="s">
        <v>56</v>
      </c>
      <c r="G11" s="51"/>
      <c r="H11" s="51"/>
      <c r="I11" s="5"/>
    </row>
    <row r="14" spans="1:10" s="8" customFormat="1" ht="15.6" x14ac:dyDescent="0.3">
      <c r="A14" s="50" t="s">
        <v>6</v>
      </c>
      <c r="B14" s="50"/>
      <c r="C14" s="50"/>
      <c r="D14" s="33"/>
      <c r="E14" s="34"/>
      <c r="F14" s="34"/>
      <c r="G14" s="34"/>
      <c r="H14" s="32"/>
      <c r="I14" s="32"/>
      <c r="J14" s="32"/>
    </row>
    <row r="15" spans="1:10" s="17" customFormat="1" ht="28.8" x14ac:dyDescent="0.3">
      <c r="A15" s="16" t="s">
        <v>0</v>
      </c>
      <c r="B15" s="16" t="s">
        <v>7</v>
      </c>
      <c r="C15" s="16" t="s">
        <v>1</v>
      </c>
      <c r="D15" s="16" t="s">
        <v>8</v>
      </c>
      <c r="E15" s="16" t="s">
        <v>24</v>
      </c>
      <c r="F15" s="16" t="s">
        <v>25</v>
      </c>
      <c r="G15" s="16" t="s">
        <v>3</v>
      </c>
    </row>
    <row r="16" spans="1:10" x14ac:dyDescent="0.3">
      <c r="A16" s="2" t="s">
        <v>4</v>
      </c>
      <c r="B16" s="22">
        <v>1</v>
      </c>
      <c r="C16" s="22">
        <f>B16*$H$7*$C$7</f>
        <v>11.5</v>
      </c>
      <c r="D16" s="22">
        <f>$B16*$H7*$C$8</f>
        <v>4.6000000000000005</v>
      </c>
      <c r="E16" s="22">
        <f>$B16*$H$7*$C$10</f>
        <v>1.1500000000000001</v>
      </c>
      <c r="F16" s="22">
        <f>$B16*$H$7*$C$11</f>
        <v>5.75</v>
      </c>
      <c r="G16" s="22">
        <f>SUM(C16:F16)</f>
        <v>23</v>
      </c>
    </row>
    <row r="17" spans="1:7" x14ac:dyDescent="0.3">
      <c r="A17" s="2" t="s">
        <v>5</v>
      </c>
      <c r="B17" s="22">
        <v>1.5</v>
      </c>
      <c r="C17" s="22">
        <f>B17*$H8*$C$7</f>
        <v>15</v>
      </c>
      <c r="D17" s="22">
        <f>$B17*$H$8*$C$8</f>
        <v>6</v>
      </c>
      <c r="E17" s="22">
        <f>$B17*$H$8*$C$10</f>
        <v>1.5</v>
      </c>
      <c r="F17" s="22">
        <f>$B17*$H$8*$C$11</f>
        <v>7.5</v>
      </c>
      <c r="G17" s="22">
        <f>SUM(C17:F17)</f>
        <v>30</v>
      </c>
    </row>
    <row r="18" spans="1:7" x14ac:dyDescent="0.3">
      <c r="A18" s="2" t="s">
        <v>2</v>
      </c>
      <c r="B18" s="22">
        <v>0.5</v>
      </c>
      <c r="C18" s="22">
        <f>B18*$H9*$C$7</f>
        <v>2.625</v>
      </c>
      <c r="D18" s="22">
        <f>$B18*$H$9*$C$8</f>
        <v>1.05</v>
      </c>
      <c r="E18" s="22">
        <f>$B18*$H9*$C$10</f>
        <v>0.26250000000000001</v>
      </c>
      <c r="F18" s="22">
        <f>$B18*$H9*$C$11</f>
        <v>1.3125</v>
      </c>
      <c r="G18" s="22">
        <f>SUM(C18:F18)</f>
        <v>5.25</v>
      </c>
    </row>
    <row r="19" spans="1:7" x14ac:dyDescent="0.3">
      <c r="A19" s="2" t="s">
        <v>3</v>
      </c>
      <c r="B19" s="22">
        <f>SUM(B16:B18)</f>
        <v>3</v>
      </c>
      <c r="C19" s="22">
        <f>SUM(C16:C18)</f>
        <v>29.125</v>
      </c>
      <c r="D19" s="22">
        <f>SUM(D16:D18)</f>
        <v>11.650000000000002</v>
      </c>
      <c r="E19" s="22">
        <f t="shared" ref="E19" si="0">SUM(E16:E18)</f>
        <v>2.9125000000000005</v>
      </c>
      <c r="F19" s="22">
        <f>SUM(F16:F18)</f>
        <v>14.5625</v>
      </c>
      <c r="G19" s="22">
        <f>SUM(G16:G18)</f>
        <v>58.25</v>
      </c>
    </row>
    <row r="22" spans="1:7" s="7" customFormat="1" ht="15.6" x14ac:dyDescent="0.3">
      <c r="A22" s="6" t="s">
        <v>26</v>
      </c>
      <c r="B22" s="7">
        <v>4</v>
      </c>
      <c r="C22" s="7" t="s">
        <v>9</v>
      </c>
    </row>
    <row r="23" spans="1:7" ht="28.8" x14ac:dyDescent="0.3">
      <c r="A23" s="1" t="s">
        <v>0</v>
      </c>
      <c r="B23" s="1" t="s">
        <v>7</v>
      </c>
      <c r="C23" s="1" t="s">
        <v>1</v>
      </c>
      <c r="D23" s="1" t="s">
        <v>8</v>
      </c>
      <c r="E23" s="1" t="s">
        <v>24</v>
      </c>
      <c r="F23" s="1" t="s">
        <v>25</v>
      </c>
      <c r="G23" s="1" t="s">
        <v>3</v>
      </c>
    </row>
    <row r="24" spans="1:7" x14ac:dyDescent="0.3">
      <c r="A24" s="2" t="s">
        <v>4</v>
      </c>
      <c r="B24" s="22">
        <v>1</v>
      </c>
      <c r="C24" s="3">
        <f>G24*$C$7</f>
        <v>70</v>
      </c>
      <c r="D24" s="3">
        <f>G24*$C$8</f>
        <v>28</v>
      </c>
      <c r="E24" s="3">
        <f>G24*$C$10</f>
        <v>7</v>
      </c>
      <c r="F24" s="3">
        <f>G24*$C$11</f>
        <v>35</v>
      </c>
      <c r="G24" s="3">
        <f>'Детальный ресурсный план '!F6</f>
        <v>140</v>
      </c>
    </row>
    <row r="25" spans="1:7" x14ac:dyDescent="0.3">
      <c r="A25" s="2" t="s">
        <v>5</v>
      </c>
      <c r="B25" s="22">
        <v>1.5</v>
      </c>
      <c r="C25" s="3">
        <f>G25*$C$7</f>
        <v>158</v>
      </c>
      <c r="D25" s="3">
        <f t="shared" ref="D25:D26" si="1">G25*$C$8</f>
        <v>63.2</v>
      </c>
      <c r="E25" s="3">
        <f t="shared" ref="E25:E26" si="2">G25*$C$10</f>
        <v>15.8</v>
      </c>
      <c r="F25" s="3">
        <f t="shared" ref="F25:F26" si="3">G25*$C$11</f>
        <v>79</v>
      </c>
      <c r="G25" s="3">
        <f>'Детальный ресурсный план '!F12</f>
        <v>316</v>
      </c>
    </row>
    <row r="26" spans="1:7" x14ac:dyDescent="0.3">
      <c r="A26" s="2" t="s">
        <v>2</v>
      </c>
      <c r="B26" s="22">
        <v>0.5</v>
      </c>
      <c r="C26" s="3">
        <f>G26*$C$7</f>
        <v>35</v>
      </c>
      <c r="D26" s="3">
        <f t="shared" si="1"/>
        <v>14</v>
      </c>
      <c r="E26" s="3">
        <f t="shared" si="2"/>
        <v>3.5</v>
      </c>
      <c r="F26" s="3">
        <f t="shared" si="3"/>
        <v>17.5</v>
      </c>
      <c r="G26" s="3">
        <f>'Детальный ресурсный план '!F16</f>
        <v>70</v>
      </c>
    </row>
    <row r="27" spans="1:7" x14ac:dyDescent="0.3">
      <c r="A27" s="2" t="s">
        <v>3</v>
      </c>
      <c r="B27" s="22">
        <f>SUM(B24:B26)</f>
        <v>3</v>
      </c>
      <c r="C27" s="2">
        <f t="shared" ref="C27:F27" si="4">SUM(C24:C26)</f>
        <v>263</v>
      </c>
      <c r="D27" s="2">
        <f t="shared" si="4"/>
        <v>105.2</v>
      </c>
      <c r="E27" s="2">
        <f t="shared" si="4"/>
        <v>26.3</v>
      </c>
      <c r="F27" s="2">
        <f t="shared" si="4"/>
        <v>131.5</v>
      </c>
      <c r="G27" s="2">
        <f>SUM(G24:G26)</f>
        <v>526</v>
      </c>
    </row>
    <row r="30" spans="1:7" s="7" customFormat="1" ht="15.6" x14ac:dyDescent="0.3">
      <c r="A30" s="6" t="s">
        <v>27</v>
      </c>
      <c r="B30" s="7">
        <v>4</v>
      </c>
      <c r="C30" s="7" t="s">
        <v>9</v>
      </c>
    </row>
    <row r="31" spans="1:7" ht="28.8" x14ac:dyDescent="0.3">
      <c r="A31" s="1" t="s">
        <v>0</v>
      </c>
      <c r="B31" s="1" t="s">
        <v>7</v>
      </c>
      <c r="C31" s="1" t="s">
        <v>1</v>
      </c>
      <c r="D31" s="1" t="s">
        <v>8</v>
      </c>
      <c r="E31" s="1" t="s">
        <v>24</v>
      </c>
      <c r="F31" s="1" t="s">
        <v>25</v>
      </c>
      <c r="G31" s="1" t="s">
        <v>3</v>
      </c>
    </row>
    <row r="32" spans="1:7" x14ac:dyDescent="0.3">
      <c r="A32" s="2" t="s">
        <v>4</v>
      </c>
      <c r="B32" s="22">
        <v>1</v>
      </c>
      <c r="C32" s="3">
        <f>G32*$C$7</f>
        <v>62</v>
      </c>
      <c r="D32" s="3">
        <f>G32*$C$8</f>
        <v>24.8</v>
      </c>
      <c r="E32" s="3">
        <f>G32*$C$10</f>
        <v>6.2</v>
      </c>
      <c r="F32" s="3">
        <f>G32*$C$11</f>
        <v>31</v>
      </c>
      <c r="G32" s="3">
        <f>'Детальный ресурсный план '!K6</f>
        <v>124</v>
      </c>
    </row>
    <row r="33" spans="1:7" x14ac:dyDescent="0.3">
      <c r="A33" s="2" t="s">
        <v>5</v>
      </c>
      <c r="B33" s="22">
        <v>1.5</v>
      </c>
      <c r="C33" s="3">
        <f t="shared" ref="C33:C34" si="5">G33*$C$7</f>
        <v>134</v>
      </c>
      <c r="D33" s="3">
        <f t="shared" ref="D33:D34" si="6">G33*$C$8</f>
        <v>53.6</v>
      </c>
      <c r="E33" s="3">
        <f t="shared" ref="E33:E34" si="7">G33*$C$10</f>
        <v>13.4</v>
      </c>
      <c r="F33" s="3">
        <f t="shared" ref="F33:F34" si="8">G33*$C$11</f>
        <v>67</v>
      </c>
      <c r="G33" s="3">
        <f>'Детальный ресурсный план '!K12</f>
        <v>268</v>
      </c>
    </row>
    <row r="34" spans="1:7" x14ac:dyDescent="0.3">
      <c r="A34" s="2" t="s">
        <v>2</v>
      </c>
      <c r="B34" s="22">
        <v>0.5</v>
      </c>
      <c r="C34" s="3">
        <f t="shared" si="5"/>
        <v>27</v>
      </c>
      <c r="D34" s="3">
        <f t="shared" si="6"/>
        <v>10.8</v>
      </c>
      <c r="E34" s="3">
        <f t="shared" si="7"/>
        <v>2.7</v>
      </c>
      <c r="F34" s="3">
        <f t="shared" si="8"/>
        <v>13.5</v>
      </c>
      <c r="G34" s="3">
        <f>'Детальный ресурсный план '!K16</f>
        <v>54</v>
      </c>
    </row>
    <row r="35" spans="1:7" x14ac:dyDescent="0.3">
      <c r="A35" s="2" t="s">
        <v>3</v>
      </c>
      <c r="B35" s="22">
        <f>SUM(B32:B34)</f>
        <v>3</v>
      </c>
      <c r="C35" s="2">
        <f t="shared" ref="C35" si="9">SUM(C32:C34)</f>
        <v>223</v>
      </c>
      <c r="D35" s="2">
        <f t="shared" ref="D35" si="10">SUM(D32:D34)</f>
        <v>89.2</v>
      </c>
      <c r="E35" s="2">
        <f t="shared" ref="E35" si="11">SUM(E32:E34)</f>
        <v>22.3</v>
      </c>
      <c r="F35" s="2">
        <f t="shared" ref="F35" si="12">SUM(F32:F34)</f>
        <v>111.5</v>
      </c>
      <c r="G35" s="2">
        <f>SUM(G32:G34)</f>
        <v>446</v>
      </c>
    </row>
    <row r="38" spans="1:7" s="7" customFormat="1" ht="15.6" x14ac:dyDescent="0.3">
      <c r="A38" s="6" t="s">
        <v>28</v>
      </c>
      <c r="B38" s="7">
        <v>4</v>
      </c>
      <c r="C38" s="7" t="s">
        <v>9</v>
      </c>
    </row>
    <row r="39" spans="1:7" ht="28.8" x14ac:dyDescent="0.3">
      <c r="A39" s="1" t="s">
        <v>0</v>
      </c>
      <c r="B39" s="1" t="s">
        <v>7</v>
      </c>
      <c r="C39" s="1" t="s">
        <v>1</v>
      </c>
      <c r="D39" s="1" t="s">
        <v>8</v>
      </c>
      <c r="E39" s="1" t="s">
        <v>24</v>
      </c>
      <c r="F39" s="1" t="s">
        <v>25</v>
      </c>
      <c r="G39" s="1" t="s">
        <v>3</v>
      </c>
    </row>
    <row r="40" spans="1:7" x14ac:dyDescent="0.3">
      <c r="A40" s="2" t="s">
        <v>4</v>
      </c>
      <c r="B40" s="22">
        <v>1</v>
      </c>
      <c r="C40" s="3">
        <f>G40*$C$7</f>
        <v>66</v>
      </c>
      <c r="D40" s="3">
        <f>G40*$C$8</f>
        <v>26.400000000000002</v>
      </c>
      <c r="E40" s="3">
        <f>G40*$C$10</f>
        <v>6.6000000000000005</v>
      </c>
      <c r="F40" s="3">
        <f>G40*$C$11</f>
        <v>33</v>
      </c>
      <c r="G40" s="3">
        <f>'Детальный ресурсный план '!P6</f>
        <v>132</v>
      </c>
    </row>
    <row r="41" spans="1:7" x14ac:dyDescent="0.3">
      <c r="A41" s="2" t="s">
        <v>5</v>
      </c>
      <c r="B41" s="22">
        <v>1.5</v>
      </c>
      <c r="C41" s="3">
        <f>G41*$C$7</f>
        <v>138</v>
      </c>
      <c r="D41" s="3">
        <f t="shared" ref="D41:D42" si="13">G41*$C$8</f>
        <v>55.2</v>
      </c>
      <c r="E41" s="3">
        <f t="shared" ref="E41:E42" si="14">G41*$C$10</f>
        <v>13.8</v>
      </c>
      <c r="F41" s="3">
        <f t="shared" ref="F41:F42" si="15">G41*$C$11</f>
        <v>69</v>
      </c>
      <c r="G41" s="3">
        <f>'Детальный ресурсный план '!P12</f>
        <v>276</v>
      </c>
    </row>
    <row r="42" spans="1:7" x14ac:dyDescent="0.3">
      <c r="A42" s="2" t="s">
        <v>2</v>
      </c>
      <c r="B42" s="22">
        <v>0.5</v>
      </c>
      <c r="C42" s="3">
        <f>G42*$C$7</f>
        <v>31</v>
      </c>
      <c r="D42" s="3">
        <f t="shared" si="13"/>
        <v>12.4</v>
      </c>
      <c r="E42" s="3">
        <f t="shared" si="14"/>
        <v>3.1</v>
      </c>
      <c r="F42" s="3">
        <f t="shared" si="15"/>
        <v>15.5</v>
      </c>
      <c r="G42" s="3">
        <f>'Детальный ресурсный план '!P16</f>
        <v>62</v>
      </c>
    </row>
    <row r="43" spans="1:7" x14ac:dyDescent="0.3">
      <c r="A43" s="2" t="s">
        <v>3</v>
      </c>
      <c r="B43" s="22">
        <f>SUM(B40:B42)</f>
        <v>3</v>
      </c>
      <c r="C43" s="2">
        <f>SUM(C40:C42)</f>
        <v>235</v>
      </c>
      <c r="D43" s="2">
        <f t="shared" ref="D43" si="16">SUM(D40:D42)</f>
        <v>94.000000000000014</v>
      </c>
      <c r="E43" s="2">
        <f t="shared" ref="E43" si="17">SUM(E40:E42)</f>
        <v>23.500000000000004</v>
      </c>
      <c r="F43" s="2">
        <f t="shared" ref="F43" si="18">SUM(F40:F42)</f>
        <v>117.5</v>
      </c>
      <c r="G43" s="2">
        <f>SUM(G40:G42)</f>
        <v>470</v>
      </c>
    </row>
    <row r="45" spans="1:7" ht="31.2" x14ac:dyDescent="0.3">
      <c r="A45" s="6" t="s">
        <v>10</v>
      </c>
    </row>
    <row r="46" spans="1:7" ht="28.8" x14ac:dyDescent="0.3">
      <c r="A46" s="1" t="s">
        <v>0</v>
      </c>
      <c r="B46" s="1" t="s">
        <v>7</v>
      </c>
      <c r="C46" s="1" t="s">
        <v>1</v>
      </c>
      <c r="D46" s="1" t="s">
        <v>8</v>
      </c>
      <c r="E46" s="1" t="s">
        <v>24</v>
      </c>
      <c r="F46" s="1" t="s">
        <v>25</v>
      </c>
      <c r="G46" s="1" t="s">
        <v>3</v>
      </c>
    </row>
    <row r="47" spans="1:7" x14ac:dyDescent="0.3">
      <c r="A47" s="2" t="s">
        <v>4</v>
      </c>
      <c r="B47" s="22">
        <v>1</v>
      </c>
      <c r="C47" s="3">
        <f>C40+C32+C24</f>
        <v>198</v>
      </c>
      <c r="D47" s="3">
        <f t="shared" ref="D47:F47" si="19">D40+D32+D24</f>
        <v>79.2</v>
      </c>
      <c r="E47" s="3">
        <f t="shared" si="19"/>
        <v>19.8</v>
      </c>
      <c r="F47" s="3">
        <f t="shared" si="19"/>
        <v>99</v>
      </c>
      <c r="G47" s="3">
        <f t="shared" ref="G47" si="20">G40+G32+G24</f>
        <v>396</v>
      </c>
    </row>
    <row r="48" spans="1:7" x14ac:dyDescent="0.3">
      <c r="A48" s="2" t="s">
        <v>5</v>
      </c>
      <c r="B48" s="22">
        <v>1.5</v>
      </c>
      <c r="C48" s="3">
        <f t="shared" ref="C48:F48" si="21">C41+C33+C25</f>
        <v>430</v>
      </c>
      <c r="D48" s="3">
        <f t="shared" si="21"/>
        <v>172</v>
      </c>
      <c r="E48" s="3">
        <f t="shared" si="21"/>
        <v>43</v>
      </c>
      <c r="F48" s="3">
        <f t="shared" si="21"/>
        <v>215</v>
      </c>
      <c r="G48" s="3">
        <f t="shared" ref="G48" si="22">G41+G33+G25</f>
        <v>860</v>
      </c>
    </row>
    <row r="49" spans="1:7" x14ac:dyDescent="0.3">
      <c r="A49" s="2" t="s">
        <v>2</v>
      </c>
      <c r="B49" s="22">
        <v>0.5</v>
      </c>
      <c r="C49" s="3">
        <f t="shared" ref="C49:F49" si="23">C42+C34+C26</f>
        <v>93</v>
      </c>
      <c r="D49" s="3">
        <f t="shared" si="23"/>
        <v>37.200000000000003</v>
      </c>
      <c r="E49" s="3">
        <f t="shared" si="23"/>
        <v>9.3000000000000007</v>
      </c>
      <c r="F49" s="3">
        <f t="shared" si="23"/>
        <v>46.5</v>
      </c>
      <c r="G49" s="3">
        <f t="shared" ref="G49" si="24">G42+G34+G26</f>
        <v>186</v>
      </c>
    </row>
    <row r="50" spans="1:7" x14ac:dyDescent="0.3">
      <c r="A50" s="2" t="s">
        <v>3</v>
      </c>
      <c r="B50" s="22">
        <f>SUM(B47:B49)</f>
        <v>3</v>
      </c>
      <c r="C50" s="4">
        <f>SUM(C47:C49)</f>
        <v>721</v>
      </c>
      <c r="D50" s="4">
        <f t="shared" ref="D50:F50" si="25">SUM(D47:D49)</f>
        <v>288.39999999999998</v>
      </c>
      <c r="E50" s="4">
        <f t="shared" si="25"/>
        <v>72.099999999999994</v>
      </c>
      <c r="F50" s="4">
        <f t="shared" si="25"/>
        <v>360.5</v>
      </c>
      <c r="G50" s="4">
        <f>G47+G48+G49</f>
        <v>1442</v>
      </c>
    </row>
    <row r="54" spans="1:7" x14ac:dyDescent="0.3">
      <c r="A54" s="35"/>
      <c r="B54" t="s">
        <v>55</v>
      </c>
    </row>
  </sheetData>
  <mergeCells count="2">
    <mergeCell ref="A14:C14"/>
    <mergeCell ref="F11:H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57E9-7EAA-4606-A953-52D42D9851F1}">
  <dimension ref="A3:P19"/>
  <sheetViews>
    <sheetView workbookViewId="0">
      <selection activeCell="E19" sqref="E19"/>
    </sheetView>
  </sheetViews>
  <sheetFormatPr defaultColWidth="8.77734375" defaultRowHeight="14.4" x14ac:dyDescent="0.3"/>
  <cols>
    <col min="1" max="1" width="18.109375" customWidth="1"/>
    <col min="2" max="2" width="17" bestFit="1" customWidth="1"/>
    <col min="3" max="3" width="17.44140625" bestFit="1" customWidth="1"/>
    <col min="4" max="5" width="17.44140625" customWidth="1"/>
    <col min="6" max="6" width="17.44140625" bestFit="1" customWidth="1"/>
    <col min="7" max="8" width="17.5546875" customWidth="1"/>
    <col min="9" max="9" width="17.21875" customWidth="1"/>
    <col min="10" max="10" width="17" bestFit="1" customWidth="1"/>
    <col min="11" max="11" width="17.33203125" customWidth="1"/>
    <col min="12" max="12" width="19.109375" bestFit="1" customWidth="1"/>
    <col min="13" max="13" width="19.109375" customWidth="1"/>
    <col min="14" max="14" width="21.6640625" bestFit="1" customWidth="1"/>
    <col min="15" max="15" width="21.109375" bestFit="1" customWidth="1"/>
    <col min="16" max="16" width="16" customWidth="1"/>
  </cols>
  <sheetData>
    <row r="3" spans="1:16" s="18" customFormat="1" x14ac:dyDescent="0.3">
      <c r="A3" s="14" t="s">
        <v>30</v>
      </c>
      <c r="B3" s="14">
        <v>14</v>
      </c>
      <c r="C3" s="14">
        <v>15</v>
      </c>
      <c r="D3" s="14">
        <v>16</v>
      </c>
      <c r="E3" s="14">
        <v>17</v>
      </c>
      <c r="F3" s="42" t="s">
        <v>67</v>
      </c>
      <c r="G3" s="14">
        <v>18</v>
      </c>
      <c r="H3" s="14">
        <v>19</v>
      </c>
      <c r="I3" s="14">
        <v>20</v>
      </c>
      <c r="J3" s="14">
        <v>21</v>
      </c>
      <c r="K3" s="42" t="s">
        <v>72</v>
      </c>
      <c r="L3" s="14">
        <v>22</v>
      </c>
      <c r="M3" s="14">
        <v>23</v>
      </c>
      <c r="N3" s="14">
        <v>24</v>
      </c>
      <c r="O3" s="14">
        <v>25</v>
      </c>
      <c r="P3" s="42" t="s">
        <v>77</v>
      </c>
    </row>
    <row r="4" spans="1:16" s="5" customFormat="1" x14ac:dyDescent="0.3">
      <c r="A4" s="19" t="s">
        <v>29</v>
      </c>
      <c r="B4" s="19" t="s">
        <v>64</v>
      </c>
      <c r="C4" s="20" t="s">
        <v>65</v>
      </c>
      <c r="D4" s="20" t="s">
        <v>66</v>
      </c>
      <c r="E4" s="20" t="s">
        <v>63</v>
      </c>
      <c r="F4" s="43"/>
      <c r="G4" s="20" t="s">
        <v>68</v>
      </c>
      <c r="H4" s="19" t="s">
        <v>69</v>
      </c>
      <c r="I4" s="19" t="s">
        <v>70</v>
      </c>
      <c r="J4" s="19" t="s">
        <v>71</v>
      </c>
      <c r="K4" s="43"/>
      <c r="L4" s="19" t="s">
        <v>73</v>
      </c>
      <c r="M4" s="19" t="s">
        <v>74</v>
      </c>
      <c r="N4" s="19" t="s">
        <v>75</v>
      </c>
      <c r="O4" s="19" t="s">
        <v>76</v>
      </c>
      <c r="P4" s="43"/>
    </row>
    <row r="5" spans="1:16" x14ac:dyDescent="0.3">
      <c r="A5" s="21" t="s">
        <v>57</v>
      </c>
      <c r="B5" s="24">
        <v>35</v>
      </c>
      <c r="C5" s="24">
        <v>35</v>
      </c>
      <c r="D5" s="24">
        <v>35</v>
      </c>
      <c r="E5" s="24">
        <v>35</v>
      </c>
      <c r="F5" s="44">
        <f>SUM(A5:B5:E5)</f>
        <v>140</v>
      </c>
      <c r="G5" s="24">
        <v>27</v>
      </c>
      <c r="H5" s="24">
        <v>27</v>
      </c>
      <c r="I5" s="24">
        <v>35</v>
      </c>
      <c r="J5" s="24">
        <v>35</v>
      </c>
      <c r="K5" s="44">
        <f>SUM(G5:J5)</f>
        <v>124</v>
      </c>
      <c r="L5" s="24">
        <v>35</v>
      </c>
      <c r="M5" s="24">
        <v>27</v>
      </c>
      <c r="N5" s="24">
        <v>35</v>
      </c>
      <c r="O5" s="24">
        <v>35</v>
      </c>
      <c r="P5" s="44">
        <f>SUM(L5:O5)</f>
        <v>132</v>
      </c>
    </row>
    <row r="6" spans="1:16" s="5" customFormat="1" x14ac:dyDescent="0.3">
      <c r="A6" s="19" t="s">
        <v>31</v>
      </c>
      <c r="B6" s="19">
        <f>SUM(B5:B5)</f>
        <v>35</v>
      </c>
      <c r="C6" s="19">
        <f>SUM(C5:C5)</f>
        <v>35</v>
      </c>
      <c r="D6" s="19">
        <f>SUM(D5:D5)</f>
        <v>35</v>
      </c>
      <c r="E6" s="19">
        <f>SUM(E5:E5)</f>
        <v>35</v>
      </c>
      <c r="F6" s="45">
        <f>SUM(A6:B6:E6)</f>
        <v>140</v>
      </c>
      <c r="G6" s="19">
        <f>SUM(G5:G5)</f>
        <v>27</v>
      </c>
      <c r="H6" s="19">
        <f>SUM(H5:H5)</f>
        <v>27</v>
      </c>
      <c r="I6" s="19">
        <f>SUM(I5:I5)</f>
        <v>35</v>
      </c>
      <c r="J6" s="19">
        <f>SUM(J5:J5)</f>
        <v>35</v>
      </c>
      <c r="K6" s="45">
        <f t="shared" ref="K6" si="0">SUM(K5:K5)</f>
        <v>124</v>
      </c>
      <c r="L6" s="19">
        <f>SUM(L5:L5)</f>
        <v>35</v>
      </c>
      <c r="M6" s="19">
        <f>SUM(M5:M5)</f>
        <v>27</v>
      </c>
      <c r="N6" s="19">
        <f>SUM(N5:N5)</f>
        <v>35</v>
      </c>
      <c r="O6" s="19">
        <f>SUM(O5:O5)</f>
        <v>35</v>
      </c>
      <c r="P6" s="45">
        <f t="shared" ref="P6" si="1">SUM(P5:P5)</f>
        <v>132</v>
      </c>
    </row>
    <row r="7" spans="1:16" s="5" customFormat="1" x14ac:dyDescent="0.3">
      <c r="A7" s="19"/>
      <c r="B7" s="19"/>
      <c r="C7" s="19"/>
      <c r="D7" s="19"/>
      <c r="E7" s="19"/>
      <c r="F7" s="45"/>
      <c r="G7" s="19"/>
      <c r="H7" s="19"/>
      <c r="I7" s="19"/>
      <c r="J7" s="19"/>
      <c r="K7" s="45"/>
      <c r="L7" s="19"/>
      <c r="M7" s="19"/>
      <c r="N7" s="19"/>
      <c r="O7" s="19"/>
      <c r="P7" s="45"/>
    </row>
    <row r="8" spans="1:16" s="56" customFormat="1" x14ac:dyDescent="0.3">
      <c r="A8" s="53" t="s">
        <v>58</v>
      </c>
      <c r="B8" s="54">
        <v>0</v>
      </c>
      <c r="C8" s="54">
        <v>0</v>
      </c>
      <c r="D8" s="54">
        <v>0</v>
      </c>
      <c r="E8" s="54">
        <v>0</v>
      </c>
      <c r="F8" s="55">
        <v>0</v>
      </c>
      <c r="G8" s="54">
        <v>0</v>
      </c>
      <c r="H8" s="54">
        <v>0</v>
      </c>
      <c r="I8" s="54">
        <v>0</v>
      </c>
      <c r="J8" s="54">
        <v>0</v>
      </c>
      <c r="K8" s="55">
        <v>0</v>
      </c>
      <c r="L8" s="54">
        <v>0</v>
      </c>
      <c r="M8" s="54">
        <v>0</v>
      </c>
      <c r="N8" s="54">
        <v>0</v>
      </c>
      <c r="O8" s="54">
        <v>0</v>
      </c>
      <c r="P8" s="55">
        <f>SUM(L8:O8)</f>
        <v>0</v>
      </c>
    </row>
    <row r="9" spans="1:16" x14ac:dyDescent="0.3">
      <c r="A9" s="21" t="s">
        <v>60</v>
      </c>
      <c r="B9" s="24">
        <v>30</v>
      </c>
      <c r="C9" s="24">
        <v>30</v>
      </c>
      <c r="D9" s="24">
        <v>30</v>
      </c>
      <c r="E9" s="24">
        <v>30</v>
      </c>
      <c r="F9" s="44">
        <f>SUM(A9:B9:E9)</f>
        <v>120</v>
      </c>
      <c r="G9" s="24">
        <v>22</v>
      </c>
      <c r="H9" s="24">
        <v>22</v>
      </c>
      <c r="I9" s="24">
        <v>30</v>
      </c>
      <c r="J9" s="24">
        <v>30</v>
      </c>
      <c r="K9" s="44">
        <f>SUM(G9:J9)</f>
        <v>104</v>
      </c>
      <c r="L9" s="24">
        <v>30</v>
      </c>
      <c r="M9" s="24">
        <v>22</v>
      </c>
      <c r="N9" s="24">
        <v>30</v>
      </c>
      <c r="O9" s="24">
        <v>30</v>
      </c>
      <c r="P9" s="44">
        <f>SUM(L9:O9)</f>
        <v>112</v>
      </c>
    </row>
    <row r="10" spans="1:16" x14ac:dyDescent="0.3">
      <c r="A10" s="21" t="s">
        <v>61</v>
      </c>
      <c r="B10" s="24">
        <v>14</v>
      </c>
      <c r="C10" s="24">
        <v>14</v>
      </c>
      <c r="D10" s="24">
        <v>14</v>
      </c>
      <c r="E10" s="24">
        <v>14</v>
      </c>
      <c r="F10" s="44">
        <f>SUM(A10:B10:E10)</f>
        <v>56</v>
      </c>
      <c r="G10" s="24">
        <v>6</v>
      </c>
      <c r="H10" s="24">
        <v>6</v>
      </c>
      <c r="I10" s="24">
        <v>14</v>
      </c>
      <c r="J10" s="24">
        <v>14</v>
      </c>
      <c r="K10" s="44">
        <f>SUM(G10:J10)</f>
        <v>40</v>
      </c>
      <c r="L10" s="24">
        <v>14</v>
      </c>
      <c r="M10" s="24">
        <v>6</v>
      </c>
      <c r="N10" s="24">
        <v>14</v>
      </c>
      <c r="O10" s="24">
        <v>14</v>
      </c>
      <c r="P10" s="44">
        <f>SUM(L10:O10)</f>
        <v>48</v>
      </c>
    </row>
    <row r="11" spans="1:16" x14ac:dyDescent="0.3">
      <c r="A11" s="21" t="s">
        <v>59</v>
      </c>
      <c r="B11" s="24">
        <v>35</v>
      </c>
      <c r="C11" s="24">
        <v>35</v>
      </c>
      <c r="D11" s="24">
        <v>35</v>
      </c>
      <c r="E11" s="24">
        <v>35</v>
      </c>
      <c r="F11" s="44">
        <f>SUM(A11:B11:E11)</f>
        <v>140</v>
      </c>
      <c r="G11" s="24">
        <v>27</v>
      </c>
      <c r="H11" s="24">
        <v>27</v>
      </c>
      <c r="I11" s="24">
        <v>35</v>
      </c>
      <c r="J11" s="24">
        <v>35</v>
      </c>
      <c r="K11" s="44">
        <f>SUM(G11:J11)</f>
        <v>124</v>
      </c>
      <c r="L11" s="24">
        <v>35</v>
      </c>
      <c r="M11" s="24">
        <v>27</v>
      </c>
      <c r="N11" s="24">
        <v>35</v>
      </c>
      <c r="O11" s="24">
        <v>19</v>
      </c>
      <c r="P11" s="44">
        <f>SUM(L11:O11)</f>
        <v>116</v>
      </c>
    </row>
    <row r="12" spans="1:16" s="5" customFormat="1" x14ac:dyDescent="0.3">
      <c r="A12" s="19" t="s">
        <v>32</v>
      </c>
      <c r="B12" s="19">
        <f t="shared" ref="B12" si="2">SUM(B8:B11)</f>
        <v>79</v>
      </c>
      <c r="C12" s="19">
        <f>SUM(C8:C11)</f>
        <v>79</v>
      </c>
      <c r="D12" s="19">
        <f t="shared" ref="D12:G12" si="3">SUM(D8:D11)</f>
        <v>79</v>
      </c>
      <c r="E12" s="19">
        <f t="shared" si="3"/>
        <v>79</v>
      </c>
      <c r="F12" s="45">
        <f t="shared" si="3"/>
        <v>316</v>
      </c>
      <c r="G12" s="19">
        <f t="shared" si="3"/>
        <v>55</v>
      </c>
      <c r="H12" s="19">
        <f xml:space="preserve"> SUM(H8:H11)</f>
        <v>55</v>
      </c>
      <c r="I12" s="19">
        <f t="shared" ref="I12:P12" si="4">SUM(I8:I11)</f>
        <v>79</v>
      </c>
      <c r="J12" s="19">
        <f t="shared" si="4"/>
        <v>79</v>
      </c>
      <c r="K12" s="45">
        <f t="shared" si="4"/>
        <v>268</v>
      </c>
      <c r="L12" s="19">
        <f t="shared" si="4"/>
        <v>79</v>
      </c>
      <c r="M12" s="19">
        <f t="shared" si="4"/>
        <v>55</v>
      </c>
      <c r="N12" s="19">
        <f t="shared" si="4"/>
        <v>79</v>
      </c>
      <c r="O12" s="19">
        <f t="shared" si="4"/>
        <v>63</v>
      </c>
      <c r="P12" s="45">
        <f t="shared" si="4"/>
        <v>276</v>
      </c>
    </row>
    <row r="13" spans="1:16" s="5" customFormat="1" x14ac:dyDescent="0.3">
      <c r="A13" s="19"/>
      <c r="B13" s="19"/>
      <c r="C13" s="19"/>
      <c r="D13" s="19"/>
      <c r="E13" s="19"/>
      <c r="F13" s="45"/>
      <c r="G13" s="19"/>
      <c r="H13" s="19"/>
      <c r="I13" s="19"/>
      <c r="J13" s="19"/>
      <c r="K13" s="45"/>
      <c r="L13" s="19"/>
      <c r="M13" s="19"/>
      <c r="N13" s="19"/>
      <c r="O13" s="19"/>
      <c r="P13" s="45"/>
    </row>
    <row r="14" spans="1:16" s="5" customFormat="1" x14ac:dyDescent="0.3">
      <c r="A14" s="38" t="s">
        <v>2</v>
      </c>
      <c r="B14" s="24">
        <v>17.5</v>
      </c>
      <c r="C14" s="24">
        <v>17.5</v>
      </c>
      <c r="D14" s="24">
        <v>17.5</v>
      </c>
      <c r="E14" s="24">
        <v>17.5</v>
      </c>
      <c r="F14" s="44">
        <f>SUM(A14:B14:E14)</f>
        <v>70</v>
      </c>
      <c r="G14" s="24">
        <v>9.5</v>
      </c>
      <c r="H14" s="24">
        <v>9.5</v>
      </c>
      <c r="I14" s="24">
        <v>17.5</v>
      </c>
      <c r="J14" s="24">
        <v>17.5</v>
      </c>
      <c r="K14" s="44">
        <f>SUM(G14:J14)</f>
        <v>54</v>
      </c>
      <c r="L14" s="24">
        <v>17.5</v>
      </c>
      <c r="M14" s="24">
        <v>9.5</v>
      </c>
      <c r="N14" s="24">
        <v>17.5</v>
      </c>
      <c r="O14" s="24">
        <v>17.5</v>
      </c>
      <c r="P14" s="44">
        <f>SUM(L14:O14)</f>
        <v>62</v>
      </c>
    </row>
    <row r="15" spans="1:16" hidden="1" x14ac:dyDescent="0.3">
      <c r="A15" s="21"/>
      <c r="B15" s="24"/>
      <c r="C15" s="24"/>
      <c r="D15" s="24"/>
      <c r="E15" s="24"/>
      <c r="F15" s="44"/>
      <c r="G15" s="24"/>
      <c r="H15" s="24"/>
      <c r="I15" s="24"/>
      <c r="J15" s="24"/>
      <c r="K15" s="44"/>
      <c r="L15" s="24"/>
      <c r="M15" s="24"/>
      <c r="N15" s="24"/>
      <c r="O15" s="24"/>
      <c r="P15" s="44"/>
    </row>
    <row r="16" spans="1:16" s="5" customFormat="1" x14ac:dyDescent="0.3">
      <c r="A16" s="19" t="s">
        <v>33</v>
      </c>
      <c r="B16" s="19">
        <f>SUM(B14:B15)</f>
        <v>17.5</v>
      </c>
      <c r="C16" s="19">
        <f>SUM(C14:C15)</f>
        <v>17.5</v>
      </c>
      <c r="D16" s="19">
        <f>SUM(D14:D15)</f>
        <v>17.5</v>
      </c>
      <c r="E16" s="19">
        <f>SUM(E14:E15)</f>
        <v>17.5</v>
      </c>
      <c r="F16" s="45">
        <f>F14</f>
        <v>70</v>
      </c>
      <c r="G16" s="19">
        <f>SUM(G14:G15)</f>
        <v>9.5</v>
      </c>
      <c r="H16" s="19">
        <f>SUM(H14:H15)</f>
        <v>9.5</v>
      </c>
      <c r="I16" s="19">
        <f>SUM(I14:I15)</f>
        <v>17.5</v>
      </c>
      <c r="J16" s="19">
        <f>SUM(J14:J15)</f>
        <v>17.5</v>
      </c>
      <c r="K16" s="45">
        <f>K14</f>
        <v>54</v>
      </c>
      <c r="L16" s="19">
        <f>SUM(L14:L15)</f>
        <v>17.5</v>
      </c>
      <c r="M16" s="19">
        <f>SUM(M14:M15)</f>
        <v>9.5</v>
      </c>
      <c r="N16" s="19">
        <f>SUM(N14:N15)</f>
        <v>17.5</v>
      </c>
      <c r="O16" s="19">
        <f>SUM(O14:O15)</f>
        <v>17.5</v>
      </c>
      <c r="P16" s="45">
        <f>P14</f>
        <v>62</v>
      </c>
    </row>
    <row r="19" spans="1:16" s="47" customFormat="1" x14ac:dyDescent="0.3">
      <c r="A19" s="46" t="s">
        <v>79</v>
      </c>
      <c r="F19" s="48">
        <v>526</v>
      </c>
      <c r="K19" s="49">
        <v>446</v>
      </c>
      <c r="P19" s="49">
        <v>470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1CAB-E1CE-418C-98A7-D987FADC5FF5}">
  <dimension ref="A3:H14"/>
  <sheetViews>
    <sheetView topLeftCell="A10" workbookViewId="0">
      <selection activeCell="L8" sqref="L8"/>
    </sheetView>
  </sheetViews>
  <sheetFormatPr defaultColWidth="8.77734375" defaultRowHeight="14.4" x14ac:dyDescent="0.3"/>
  <cols>
    <col min="1" max="1" width="21.44140625" bestFit="1" customWidth="1"/>
    <col min="2" max="3" width="25.44140625" customWidth="1"/>
    <col min="4" max="4" width="16.109375" bestFit="1" customWidth="1"/>
    <col min="5" max="5" width="16.109375" style="27" customWidth="1"/>
    <col min="6" max="6" width="16.44140625" customWidth="1"/>
    <col min="7" max="7" width="16.109375" style="27" customWidth="1"/>
    <col min="8" max="8" width="39" customWidth="1"/>
  </cols>
  <sheetData>
    <row r="3" spans="1:8" x14ac:dyDescent="0.3">
      <c r="A3" s="5" t="s">
        <v>19</v>
      </c>
    </row>
    <row r="4" spans="1:8" s="29" customFormat="1" x14ac:dyDescent="0.3">
      <c r="A4" s="16" t="s">
        <v>21</v>
      </c>
      <c r="B4" s="16" t="s">
        <v>37</v>
      </c>
      <c r="C4" s="16" t="s">
        <v>34</v>
      </c>
      <c r="D4" s="28" t="s">
        <v>40</v>
      </c>
      <c r="E4" s="30" t="s">
        <v>35</v>
      </c>
      <c r="F4" s="28" t="s">
        <v>41</v>
      </c>
      <c r="G4" s="30" t="s">
        <v>36</v>
      </c>
      <c r="H4" s="28" t="s">
        <v>41</v>
      </c>
    </row>
    <row r="5" spans="1:8" ht="100.8" x14ac:dyDescent="0.3">
      <c r="A5" s="13" t="s">
        <v>20</v>
      </c>
      <c r="B5" s="26">
        <v>35</v>
      </c>
      <c r="C5" s="31">
        <v>23</v>
      </c>
      <c r="D5" s="15" t="s">
        <v>39</v>
      </c>
      <c r="E5" s="25">
        <v>4</v>
      </c>
      <c r="F5" s="15" t="s">
        <v>38</v>
      </c>
      <c r="G5" s="25">
        <v>8</v>
      </c>
      <c r="H5" s="15" t="s">
        <v>44</v>
      </c>
    </row>
    <row r="6" spans="1:8" ht="8.25" customHeight="1" x14ac:dyDescent="0.3">
      <c r="A6" s="52"/>
      <c r="B6" s="52"/>
      <c r="C6" s="52"/>
      <c r="D6" s="52"/>
      <c r="E6" s="52"/>
      <c r="F6" s="52"/>
      <c r="G6" s="52"/>
      <c r="H6" s="52"/>
    </row>
    <row r="7" spans="1:8" s="29" customFormat="1" ht="43.2" x14ac:dyDescent="0.3">
      <c r="A7" s="16" t="s">
        <v>21</v>
      </c>
      <c r="B7" s="16" t="s">
        <v>37</v>
      </c>
      <c r="C7" s="16" t="s">
        <v>42</v>
      </c>
      <c r="D7" s="28" t="s">
        <v>40</v>
      </c>
      <c r="E7" s="30" t="s">
        <v>43</v>
      </c>
      <c r="F7" s="28" t="s">
        <v>41</v>
      </c>
      <c r="G7" s="30" t="s">
        <v>36</v>
      </c>
      <c r="H7" s="28" t="s">
        <v>41</v>
      </c>
    </row>
    <row r="8" spans="1:8" ht="57.6" x14ac:dyDescent="0.3">
      <c r="A8" s="13" t="s">
        <v>22</v>
      </c>
      <c r="B8" s="26">
        <v>35</v>
      </c>
      <c r="C8" s="31">
        <v>20</v>
      </c>
      <c r="D8" s="15" t="s">
        <v>45</v>
      </c>
      <c r="E8" s="25">
        <v>10</v>
      </c>
      <c r="F8" s="15" t="s">
        <v>46</v>
      </c>
      <c r="G8" s="25">
        <v>5</v>
      </c>
      <c r="H8" s="15" t="s">
        <v>49</v>
      </c>
    </row>
    <row r="9" spans="1:8" x14ac:dyDescent="0.3">
      <c r="A9" s="13"/>
      <c r="B9" s="26"/>
      <c r="C9" s="25"/>
      <c r="D9" s="15"/>
      <c r="E9" s="25"/>
      <c r="F9" s="15"/>
      <c r="G9" s="25"/>
      <c r="H9" s="15"/>
    </row>
    <row r="10" spans="1:8" s="29" customFormat="1" x14ac:dyDescent="0.3">
      <c r="A10" s="16" t="s">
        <v>21</v>
      </c>
      <c r="B10" s="16" t="s">
        <v>37</v>
      </c>
      <c r="C10" s="16" t="s">
        <v>47</v>
      </c>
      <c r="D10" s="28" t="s">
        <v>40</v>
      </c>
      <c r="E10" s="30" t="s">
        <v>51</v>
      </c>
      <c r="F10" s="28" t="s">
        <v>40</v>
      </c>
      <c r="G10" s="30" t="s">
        <v>36</v>
      </c>
      <c r="H10" s="28" t="s">
        <v>41</v>
      </c>
    </row>
    <row r="11" spans="1:8" ht="115.2" x14ac:dyDescent="0.3">
      <c r="A11" s="13" t="s">
        <v>23</v>
      </c>
      <c r="B11" s="26">
        <v>17.5</v>
      </c>
      <c r="C11" s="26">
        <v>10.5</v>
      </c>
      <c r="D11" s="15" t="s">
        <v>50</v>
      </c>
      <c r="E11" s="26">
        <v>7</v>
      </c>
      <c r="F11" s="15" t="s">
        <v>52</v>
      </c>
      <c r="G11" s="26">
        <v>0</v>
      </c>
      <c r="H11" s="15" t="s">
        <v>48</v>
      </c>
    </row>
    <row r="12" spans="1:8" x14ac:dyDescent="0.3">
      <c r="B12" s="5"/>
      <c r="C12" s="5"/>
    </row>
    <row r="14" spans="1:8" x14ac:dyDescent="0.3">
      <c r="A14" s="31"/>
      <c r="B14" t="s">
        <v>53</v>
      </c>
    </row>
  </sheetData>
  <mergeCells count="1">
    <mergeCell ref="A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Сводный ресурсный план</vt:lpstr>
      <vt:lpstr>Детальный ресурсный план </vt:lpstr>
      <vt:lpstr>Типовые задачи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Щепунова</dc:creator>
  <cp:lastModifiedBy>User</cp:lastModifiedBy>
  <dcterms:created xsi:type="dcterms:W3CDTF">2024-12-05T06:37:04Z</dcterms:created>
  <dcterms:modified xsi:type="dcterms:W3CDTF">2026-04-01T15:31:49Z</dcterms:modified>
</cp:coreProperties>
</file>